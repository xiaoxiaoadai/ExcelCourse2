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85" yWindow="75" windowWidth="9540" windowHeight="7155" tabRatio="743" activeTab="3"/>
  </bookViews>
  <sheets>
    <sheet name="销售表" sheetId="5" r:id="rId1"/>
    <sheet name="销售图" sheetId="18" r:id="rId2"/>
    <sheet name="副表" sheetId="19" r:id="rId3"/>
    <sheet name="去除公式" sheetId="20" r:id="rId4"/>
    <sheet name="Sheet1" sheetId="15" r:id="rId5"/>
    <sheet name="Sheet2" sheetId="16" r:id="rId6"/>
    <sheet name="Sheet3" sheetId="17" r:id="rId7"/>
  </sheets>
  <calcPr calcId="144525"/>
</workbook>
</file>

<file path=xl/calcChain.xml><?xml version="1.0" encoding="utf-8"?>
<calcChain xmlns="http://schemas.openxmlformats.org/spreadsheetml/2006/main">
  <c r="H3" i="20" l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" i="20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" i="20"/>
  <c r="D37" i="19" l="1"/>
  <c r="B37" i="19"/>
  <c r="D30" i="19"/>
  <c r="B30" i="19"/>
  <c r="I24" i="19"/>
  <c r="D23" i="19"/>
  <c r="B23" i="19"/>
  <c r="D16" i="19"/>
  <c r="B16" i="19"/>
  <c r="I14" i="19"/>
  <c r="I13" i="19"/>
  <c r="I12" i="19"/>
  <c r="I11" i="19"/>
  <c r="I10" i="19"/>
  <c r="I9" i="19"/>
  <c r="C9" i="19"/>
  <c r="I8" i="19"/>
  <c r="C8" i="19"/>
  <c r="I7" i="19"/>
  <c r="C7" i="19"/>
  <c r="I6" i="19"/>
  <c r="C6" i="19"/>
  <c r="I5" i="19"/>
  <c r="C5" i="19"/>
  <c r="I4" i="19"/>
  <c r="C4" i="19"/>
  <c r="I3" i="19"/>
  <c r="I25" i="19" s="1"/>
  <c r="C3" i="19"/>
  <c r="C2" i="19"/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<sst xmlns="http://schemas.openxmlformats.org/spreadsheetml/2006/main" count="194" uniqueCount="166">
  <si>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</si>
  <si>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</si>
  <si>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</si>
  <si>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</si>
  <si>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</si>
  <si>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</si>
  <si>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</si>
  <si>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</si>
  <si>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</si>
  <si>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</si>
  <si>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</si>
  <si>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</si>
  <si>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</si>
  <si>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</si>
  <si>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</si>
  <si>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</si>
  <si>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</si>
  <si>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</si>
  <si>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</si>
  <si>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</si>
  <si>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</si>
  <si>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</si>
  <si>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</si>
  <si>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</si>
  <si>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</si>
  <si>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</si>
  <si>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</si>
  <si>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</si>
  <si>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</si>
  <si>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</si>
  <si>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</si>
  <si>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</si>
  <si>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</si>
  <si>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</si>
  <si>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</si>
  <si>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</si>
  <si>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</si>
  <si>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</si>
  <si>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</si>
  <si>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</si>
  <si>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</si>
  <si>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</si>
  <si>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</si>
  <si>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</si>
  <si>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</si>
  <si>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</si>
  <si>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</si>
  <si>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</si>
  <si>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</si>
  <si>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</si>
  <si>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</si>
  <si>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</si>
  <si>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</si>
  <si>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</si>
  <si>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</si>
  <si>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</si>
  <si>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2013款奥迪A4L </t>
    <phoneticPr fontId="6" type="noConversion"/>
  </si>
  <si>
    <t>销售提成金</t>
    <phoneticPr fontId="6" type="noConversion"/>
  </si>
  <si>
    <t>30TFSI手动舒适型</t>
    <phoneticPr fontId="6" type="noConversion"/>
  </si>
  <si>
    <t>月份</t>
    <phoneticPr fontId="6" type="noConversion"/>
  </si>
  <si>
    <t>销量</t>
    <phoneticPr fontId="6" type="noConversion"/>
  </si>
  <si>
    <t>售价</t>
    <phoneticPr fontId="6" type="noConversion"/>
  </si>
  <si>
    <t>金额</t>
    <phoneticPr fontId="6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</si>
  <si>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</si>
  <si>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</si>
  <si>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</si>
  <si>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</si>
  <si>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</si>
  <si>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</si>
  <si>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</si>
  <si>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>车身参数</t>
  </si>
  <si>
    <t xml:space="preserve"> 30TFSI手动舒适型</t>
  </si>
  <si>
    <t xml:space="preserve"> 35TFSI自动标准型</t>
    <phoneticPr fontId="6" type="noConversion"/>
  </si>
  <si>
    <t>长</t>
  </si>
  <si>
    <t>宽</t>
  </si>
  <si>
    <t>高</t>
  </si>
  <si>
    <t>轴距</t>
  </si>
  <si>
    <t>消费税</t>
    <phoneticPr fontId="6" type="noConversion"/>
  </si>
  <si>
    <t>综合油耗(L/100km)</t>
    <phoneticPr fontId="6" type="noConversion"/>
  </si>
  <si>
    <t>最高车速(km/h)</t>
  </si>
  <si>
    <t xml:space="preserve"> 30TFSI自动舒适型</t>
  </si>
  <si>
    <t xml:space="preserve"> 35TFSI自动舒适型</t>
  </si>
  <si>
    <t xml:space="preserve"> 35TFSI自动标准型</t>
  </si>
  <si>
    <t xml:space="preserve"> 40TFSI quattro 个性运动型</t>
  </si>
  <si>
    <t xml:space="preserve"> 35TFSI自动技术型</t>
  </si>
  <si>
    <t xml:space="preserve"> 35TFSI自动豪华型</t>
  </si>
  <si>
    <t xml:space="preserve"> 40TFSI quattro 运动型</t>
  </si>
  <si>
    <t>浙江省</t>
  </si>
  <si>
    <t>杭州市</t>
  </si>
  <si>
    <t>凤起路 321 号</t>
  </si>
  <si>
    <t>云南省</t>
  </si>
  <si>
    <t>昆明市</t>
  </si>
  <si>
    <t>北京路 515 号</t>
  </si>
  <si>
    <t>四川省</t>
  </si>
  <si>
    <t>成都市</t>
  </si>
  <si>
    <t>人民中路二段 35 号</t>
  </si>
  <si>
    <t>山西省</t>
  </si>
  <si>
    <t>太原市</t>
  </si>
  <si>
    <t>平阳路186号</t>
  </si>
  <si>
    <t>山东省</t>
  </si>
  <si>
    <t>济南市</t>
  </si>
  <si>
    <t>泺源大街 22 号</t>
  </si>
  <si>
    <t>辽宁省</t>
  </si>
  <si>
    <t>沈阳市</t>
  </si>
  <si>
    <t>沈河区市府大路 253 号</t>
  </si>
  <si>
    <t>大连市</t>
  </si>
  <si>
    <t>中山区中山广场9号</t>
  </si>
  <si>
    <t>江西省</t>
  </si>
  <si>
    <t>南昌市</t>
  </si>
  <si>
    <t>站前西路 1 号</t>
  </si>
  <si>
    <t>江苏省</t>
  </si>
  <si>
    <t>南京市</t>
  </si>
  <si>
    <t>中山南路 148 号</t>
  </si>
  <si>
    <t>吉林省</t>
  </si>
  <si>
    <t>长春市</t>
  </si>
  <si>
    <t>西安大路 699 号</t>
  </si>
  <si>
    <t>湖南省</t>
  </si>
  <si>
    <t>长沙市</t>
  </si>
  <si>
    <t>芙蓉中路一段 593 号</t>
  </si>
  <si>
    <t>湖北省</t>
  </si>
  <si>
    <t>武汉市</t>
  </si>
  <si>
    <t>建设大道677号</t>
  </si>
  <si>
    <t>黑龙江省</t>
  </si>
  <si>
    <t>哈尔滨市</t>
  </si>
  <si>
    <t>红军街 19 号</t>
  </si>
  <si>
    <t>河南省</t>
  </si>
  <si>
    <t>郑州市</t>
  </si>
  <si>
    <t>郑东新区商务外环路3-1号</t>
  </si>
  <si>
    <t>河北省</t>
  </si>
  <si>
    <t>家庄市</t>
  </si>
  <si>
    <t>新华路 80 号</t>
  </si>
  <si>
    <t>海南省</t>
  </si>
  <si>
    <t>海口市</t>
  </si>
  <si>
    <t>大同路 33 号</t>
  </si>
  <si>
    <t>广东省</t>
  </si>
  <si>
    <t>深圳市</t>
  </si>
  <si>
    <t>罗湖区建设路 2022 号国际金融大厦</t>
  </si>
  <si>
    <t>甘肃省</t>
  </si>
  <si>
    <t>兰州市</t>
  </si>
  <si>
    <t>天水南路 525 号</t>
  </si>
  <si>
    <t>安徽省</t>
  </si>
  <si>
    <t>合肥市</t>
  </si>
  <si>
    <t>长江中路 313 号</t>
  </si>
  <si>
    <t>1t3k3507</t>
  </si>
  <si>
    <t>8v5b2210</t>
  </si>
  <si>
    <t>9r5g8216</t>
  </si>
  <si>
    <t>6n7x7266</t>
  </si>
  <si>
    <t>7w1x9049</t>
  </si>
  <si>
    <t>1j5r9688</t>
  </si>
  <si>
    <t>9j7j8374</t>
  </si>
  <si>
    <t>5q4l1842</t>
  </si>
  <si>
    <t>6r7q7937</t>
  </si>
  <si>
    <t>4u5b7333</t>
  </si>
  <si>
    <t>9j9w9571</t>
  </si>
  <si>
    <t>2r4j2033</t>
  </si>
  <si>
    <t>2q9h4242</t>
  </si>
  <si>
    <t>6u4w4176</t>
  </si>
  <si>
    <t>2s5t4096</t>
  </si>
  <si>
    <t>3r4c1915</t>
  </si>
  <si>
    <t>9n8d8849</t>
  </si>
  <si>
    <t>4q6o2807</t>
  </si>
  <si>
    <t>3m1j3145</t>
  </si>
  <si>
    <t>1c2j9765</t>
  </si>
  <si>
    <t>3b3t8950</t>
  </si>
  <si>
    <t>随机数</t>
    <phoneticPr fontId="6" type="noConversion"/>
  </si>
  <si>
    <t>编号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</si>
</sst>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</numFmts>
  <fonts count="22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1"/>
      <color theme="1"/>
      <name val="Calibri"/>
      <family val="2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  <font>
      <sz val="9"/>
      <color theme="1"/>
      <name val="华文中宋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9" fillId="0" borderId="0"/>
  </cellStyleXfs>
  <cellXfs count="83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5" fillId="0" borderId="0" xfId="0" applyFont="1" applyFill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8" fillId="0" borderId="0" xfId="0" applyFont="1"/>
    <xf numFmtId="0" fontId="20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7" fillId="0" borderId="12" xfId="0" applyFont="1" applyBorder="1" applyAlignment="1"/>
    <xf numFmtId="180" fontId="17" fillId="0" borderId="12" xfId="0" applyNumberFormat="1" applyFont="1" applyFill="1" applyBorder="1" applyAlignment="1"/>
    <xf numFmtId="180" fontId="17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0" fontId="13" fillId="0" borderId="0" xfId="0" applyFont="1"/>
    <xf numFmtId="0" fontId="0" fillId="0" borderId="13" xfId="0" applyBorder="1"/>
    <xf numFmtId="0" fontId="0" fillId="0" borderId="14" xfId="0" applyBorder="1"/>
    <xf numFmtId="0" fontId="18" fillId="0" borderId="14" xfId="0" applyFont="1" applyBorder="1"/>
    <xf numFmtId="0" fontId="18" fillId="0" borderId="15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18" fillId="0" borderId="16" xfId="0" applyFont="1" applyBorder="1"/>
    <xf numFmtId="0" fontId="18" fillId="0" borderId="18" xfId="0" applyFont="1" applyBorder="1"/>
    <xf numFmtId="0" fontId="0" fillId="0" borderId="19" xfId="0" applyBorder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3" fillId="0" borderId="0" xfId="0" applyFont="1" applyFill="1"/>
    <xf numFmtId="0" fontId="13" fillId="0" borderId="0" xfId="0" applyFont="1" applyFill="1" applyBorder="1"/>
    <xf numFmtId="0" fontId="13" fillId="0" borderId="17" xfId="0" applyFont="1" applyFill="1" applyBorder="1"/>
    <xf numFmtId="0" fontId="13" fillId="0" borderId="19" xfId="0" applyFont="1" applyFill="1" applyBorder="1"/>
    <xf numFmtId="0" fontId="13" fillId="0" borderId="20" xfId="0" applyFont="1" applyFill="1" applyBorder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  <xf numFmtId="0" fontId="21" fillId="0" borderId="0" xfId="0" applyFont="1"/>
    <xf numFmtId="0" fontId="2" fillId="0" borderId="0" xfId="0" applyFont="1"/>
    <xf numFmtId="0" fontId="8" fillId="5" borderId="0" xfId="0" applyFont="1" applyFill="1"/>
    <xf numFmtId="0" fontId="8" fillId="0" borderId="0" xfId="0" applyFo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20" zoomScaleNormal="120" workbookViewId="0">
      <selection activeCell="C11" sqref="C11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37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75">
        <v>340491000</v>
      </c>
      <c r="C5" s="75">
        <v>259697000</v>
      </c>
      <c r="D5" s="75">
        <v>384833000</v>
      </c>
      <c r="E5" s="44">
        <f t="shared" ref="E5:E32" si="0">SUM(B5:D5)</f>
        <v>985021000</v>
      </c>
      <c r="F5" s="38">
        <v>798300000</v>
      </c>
      <c r="G5" s="38">
        <v>974237000</v>
      </c>
      <c r="H5" s="38">
        <v>83470000</v>
      </c>
      <c r="I5" s="44">
        <f>SUM(F5:H5)</f>
        <v>1856007000</v>
      </c>
      <c r="J5" s="38">
        <v>90151000</v>
      </c>
      <c r="K5" s="38">
        <v>94868000</v>
      </c>
      <c r="L5" s="38">
        <v>955420000</v>
      </c>
      <c r="M5" s="44">
        <f t="shared" ref="M5:M32" si="1">SUM(J5:L5)</f>
        <v>1140439000</v>
      </c>
      <c r="N5" s="38">
        <v>817056000</v>
      </c>
      <c r="O5" s="38">
        <v>82067000</v>
      </c>
      <c r="P5" s="38">
        <v>216727000</v>
      </c>
      <c r="Q5" s="44">
        <f t="shared" ref="Q5:Q32" si="2">SUM(N5:P5)</f>
        <v>1115850000</v>
      </c>
      <c r="R5" s="45">
        <f>SUM(Q5,M5,I5,E5)</f>
        <v>5097317000</v>
      </c>
    </row>
    <row r="6" spans="1:18" x14ac:dyDescent="0.2">
      <c r="A6" s="7" t="s">
        <v>3</v>
      </c>
      <c r="B6" s="75">
        <v>937033000</v>
      </c>
      <c r="C6" s="75">
        <v>771692000</v>
      </c>
      <c r="D6" s="75">
        <v>866755000</v>
      </c>
      <c r="E6" s="46">
        <f t="shared" si="0"/>
        <v>2575480000</v>
      </c>
      <c r="F6" s="38">
        <v>620418000</v>
      </c>
      <c r="G6" s="38">
        <v>496938000</v>
      </c>
      <c r="H6" s="38">
        <v>40267000</v>
      </c>
      <c r="I6" s="47">
        <f t="shared" ref="I6:I32" si="3">SUM(F6:H6)</f>
        <v>1157623000</v>
      </c>
      <c r="J6" s="38">
        <v>645726000</v>
      </c>
      <c r="K6" s="38">
        <v>169666000</v>
      </c>
      <c r="L6" s="38">
        <v>716347000</v>
      </c>
      <c r="M6" s="47">
        <f t="shared" si="1"/>
        <v>1531739000</v>
      </c>
      <c r="N6" s="38">
        <v>173387000</v>
      </c>
      <c r="O6" s="38">
        <v>319287000</v>
      </c>
      <c r="P6" s="38">
        <v>395591000</v>
      </c>
      <c r="Q6" s="47">
        <f t="shared" si="2"/>
        <v>888265000</v>
      </c>
      <c r="R6" s="48">
        <f>SUM(Q6,M6,I6,E6)</f>
        <v>6153107000</v>
      </c>
    </row>
    <row r="7" spans="1:18" ht="13.5" thickBot="1" x14ac:dyDescent="0.25">
      <c r="A7" s="7" t="s">
        <v>25</v>
      </c>
      <c r="B7" s="76">
        <f t="shared" ref="B7:P7" si="4">SUM(B5:B6)</f>
        <v>1277524000</v>
      </c>
      <c r="C7" s="76">
        <f t="shared" si="4"/>
        <v>1031389000</v>
      </c>
      <c r="D7" s="76">
        <f t="shared" si="4"/>
        <v>1251588000</v>
      </c>
      <c r="E7" s="50">
        <f>SUM(E5:E6)</f>
        <v>3560501000</v>
      </c>
      <c r="F7" s="49">
        <f t="shared" si="4"/>
        <v>1418718000</v>
      </c>
      <c r="G7" s="49">
        <f t="shared" si="4"/>
        <v>1471175000</v>
      </c>
      <c r="H7" s="49">
        <f t="shared" si="4"/>
        <v>123737000</v>
      </c>
      <c r="I7" s="51">
        <f>SUM(I5:I6)</f>
        <v>3013630000</v>
      </c>
      <c r="J7" s="49">
        <f t="shared" si="4"/>
        <v>735877000</v>
      </c>
      <c r="K7" s="49">
        <f t="shared" si="4"/>
        <v>264534000</v>
      </c>
      <c r="L7" s="49">
        <f t="shared" si="4"/>
        <v>1671767000</v>
      </c>
      <c r="M7" s="51">
        <f>SUM(M5:M6)</f>
        <v>2672178000</v>
      </c>
      <c r="N7" s="49">
        <f t="shared" si="4"/>
        <v>990443000</v>
      </c>
      <c r="O7" s="49">
        <f t="shared" si="4"/>
        <v>401354000</v>
      </c>
      <c r="P7" s="49">
        <f t="shared" si="4"/>
        <v>612318000</v>
      </c>
      <c r="Q7" s="51">
        <f>SUM(Q5:Q6)</f>
        <v>2004115000</v>
      </c>
      <c r="R7" s="52">
        <f>SUM(R5:R6)</f>
        <v>11250424000</v>
      </c>
    </row>
    <row r="8" spans="1:18" x14ac:dyDescent="0.2">
      <c r="A8" s="8"/>
      <c r="B8" s="77"/>
      <c r="C8" s="77"/>
      <c r="D8" s="77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4"/>
    </row>
    <row r="9" spans="1:18" x14ac:dyDescent="0.2">
      <c r="A9" s="6" t="s">
        <v>0</v>
      </c>
      <c r="B9" s="75"/>
      <c r="C9" s="75"/>
      <c r="D9" s="75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55"/>
    </row>
    <row r="10" spans="1:18" x14ac:dyDescent="0.2">
      <c r="A10" s="7" t="s">
        <v>4</v>
      </c>
      <c r="B10" s="75">
        <v>340491000</v>
      </c>
      <c r="C10" s="75">
        <v>259697000</v>
      </c>
      <c r="D10" s="75">
        <v>384833000</v>
      </c>
      <c r="E10" s="44">
        <f t="shared" si="0"/>
        <v>985021000</v>
      </c>
      <c r="F10" s="38">
        <v>798300000</v>
      </c>
      <c r="G10" s="38">
        <v>974237000</v>
      </c>
      <c r="H10" s="38">
        <v>83470000</v>
      </c>
      <c r="I10" s="38">
        <f t="shared" si="3"/>
        <v>1856007000</v>
      </c>
      <c r="J10" s="38">
        <v>90151000</v>
      </c>
      <c r="K10" s="38">
        <v>94868000</v>
      </c>
      <c r="L10" s="38">
        <v>955420000</v>
      </c>
      <c r="M10" s="44">
        <f t="shared" si="1"/>
        <v>1140439000</v>
      </c>
      <c r="N10" s="38">
        <v>817056000</v>
      </c>
      <c r="O10" s="38">
        <v>82067000</v>
      </c>
      <c r="P10" s="38">
        <v>216727000</v>
      </c>
      <c r="Q10" s="38">
        <f t="shared" si="2"/>
        <v>1115850000</v>
      </c>
      <c r="R10" s="45">
        <f t="shared" ref="R10:R13" si="5">SUM(Q10,M10,I10,E10)</f>
        <v>5097317000</v>
      </c>
    </row>
    <row r="11" spans="1:18" x14ac:dyDescent="0.2">
      <c r="A11" s="7" t="s">
        <v>5</v>
      </c>
      <c r="B11" s="75">
        <v>937033000</v>
      </c>
      <c r="C11" s="75">
        <v>771692000</v>
      </c>
      <c r="D11" s="75">
        <v>866755000</v>
      </c>
      <c r="E11" s="44">
        <f t="shared" si="0"/>
        <v>2575480000</v>
      </c>
      <c r="F11" s="38">
        <v>620418000</v>
      </c>
      <c r="G11" s="38">
        <v>496938000</v>
      </c>
      <c r="H11" s="38">
        <v>40267000</v>
      </c>
      <c r="I11" s="56">
        <f t="shared" si="3"/>
        <v>1157623000</v>
      </c>
      <c r="J11" s="38">
        <v>645726000</v>
      </c>
      <c r="K11" s="38">
        <v>169666000</v>
      </c>
      <c r="L11" s="38">
        <v>716347000</v>
      </c>
      <c r="M11" s="56">
        <f t="shared" si="1"/>
        <v>1531739000</v>
      </c>
      <c r="N11" s="38">
        <v>173387000</v>
      </c>
      <c r="O11" s="38">
        <v>319287000</v>
      </c>
      <c r="P11" s="38">
        <v>395591000</v>
      </c>
      <c r="Q11" s="56">
        <f t="shared" si="2"/>
        <v>888265000</v>
      </c>
      <c r="R11" s="45">
        <f t="shared" si="5"/>
        <v>6153107000</v>
      </c>
    </row>
    <row r="12" spans="1:18" x14ac:dyDescent="0.2">
      <c r="A12" s="7" t="s">
        <v>6</v>
      </c>
      <c r="B12" s="75">
        <v>340491000</v>
      </c>
      <c r="C12" s="75">
        <v>259697000</v>
      </c>
      <c r="D12" s="75">
        <v>384833000</v>
      </c>
      <c r="E12" s="44">
        <f t="shared" si="0"/>
        <v>985021000</v>
      </c>
      <c r="F12" s="38">
        <v>798300000</v>
      </c>
      <c r="G12" s="38">
        <v>974237000</v>
      </c>
      <c r="H12" s="38">
        <v>83470000</v>
      </c>
      <c r="I12" s="56">
        <f t="shared" si="3"/>
        <v>1856007000</v>
      </c>
      <c r="J12" s="38">
        <v>90151000</v>
      </c>
      <c r="K12" s="38">
        <v>94868000</v>
      </c>
      <c r="L12" s="38">
        <v>955420000</v>
      </c>
      <c r="M12" s="56">
        <f t="shared" si="1"/>
        <v>1140439000</v>
      </c>
      <c r="N12" s="38">
        <v>817056000</v>
      </c>
      <c r="O12" s="38">
        <v>82067000</v>
      </c>
      <c r="P12" s="38">
        <v>216727000</v>
      </c>
      <c r="Q12" s="56">
        <f t="shared" si="2"/>
        <v>1115850000</v>
      </c>
      <c r="R12" s="45">
        <f t="shared" si="5"/>
        <v>5097317000</v>
      </c>
    </row>
    <row r="13" spans="1:18" x14ac:dyDescent="0.2">
      <c r="A13" s="7" t="s">
        <v>7</v>
      </c>
      <c r="B13" s="75">
        <v>937033000</v>
      </c>
      <c r="C13" s="75">
        <v>771692000</v>
      </c>
      <c r="D13" s="75">
        <v>866755000</v>
      </c>
      <c r="E13" s="46">
        <f t="shared" si="0"/>
        <v>2575480000</v>
      </c>
      <c r="F13" s="38">
        <v>620418000</v>
      </c>
      <c r="G13" s="38">
        <v>496938000</v>
      </c>
      <c r="H13" s="38">
        <v>40267000</v>
      </c>
      <c r="I13" s="47">
        <f t="shared" si="3"/>
        <v>1157623000</v>
      </c>
      <c r="J13" s="38">
        <v>645726000</v>
      </c>
      <c r="K13" s="38">
        <v>169666000</v>
      </c>
      <c r="L13" s="38">
        <v>716347000</v>
      </c>
      <c r="M13" s="47">
        <f t="shared" si="1"/>
        <v>1531739000</v>
      </c>
      <c r="N13" s="38">
        <v>173387000</v>
      </c>
      <c r="O13" s="38">
        <v>319287000</v>
      </c>
      <c r="P13" s="38">
        <v>395591000</v>
      </c>
      <c r="Q13" s="47">
        <f t="shared" si="2"/>
        <v>888265000</v>
      </c>
      <c r="R13" s="48">
        <f t="shared" si="5"/>
        <v>6153107000</v>
      </c>
    </row>
    <row r="14" spans="1:18" ht="13.5" thickBot="1" x14ac:dyDescent="0.25">
      <c r="A14" s="7" t="s">
        <v>26</v>
      </c>
      <c r="B14" s="76">
        <f t="shared" ref="B14:P14" si="6">SUM(B10:B13)</f>
        <v>2555048000</v>
      </c>
      <c r="C14" s="76">
        <f t="shared" si="6"/>
        <v>2062778000</v>
      </c>
      <c r="D14" s="76">
        <f t="shared" si="6"/>
        <v>2503176000</v>
      </c>
      <c r="E14" s="49">
        <f>SUM(E10:E13)</f>
        <v>7121002000</v>
      </c>
      <c r="F14" s="49">
        <f t="shared" si="6"/>
        <v>2837436000</v>
      </c>
      <c r="G14" s="49">
        <f t="shared" si="6"/>
        <v>2942350000</v>
      </c>
      <c r="H14" s="49">
        <f t="shared" si="6"/>
        <v>247474000</v>
      </c>
      <c r="I14" s="49">
        <f>SUM(I10:I13)</f>
        <v>6027260000</v>
      </c>
      <c r="J14" s="49">
        <f t="shared" si="6"/>
        <v>1471754000</v>
      </c>
      <c r="K14" s="49">
        <f t="shared" si="6"/>
        <v>529068000</v>
      </c>
      <c r="L14" s="49">
        <f t="shared" si="6"/>
        <v>3343534000</v>
      </c>
      <c r="M14" s="49">
        <f>SUM(M10:M13)</f>
        <v>5344356000</v>
      </c>
      <c r="N14" s="49">
        <f t="shared" si="6"/>
        <v>1980886000</v>
      </c>
      <c r="O14" s="49">
        <f t="shared" si="6"/>
        <v>802708000</v>
      </c>
      <c r="P14" s="49">
        <f t="shared" si="6"/>
        <v>1224636000</v>
      </c>
      <c r="Q14" s="50">
        <f>SUM(Q10:Q13)</f>
        <v>4008230000</v>
      </c>
      <c r="R14" s="52">
        <f>SUM(R10:R13)</f>
        <v>22500848000</v>
      </c>
    </row>
    <row r="15" spans="1:18" x14ac:dyDescent="0.2">
      <c r="A15" s="9"/>
      <c r="B15" s="77"/>
      <c r="C15" s="77"/>
      <c r="D15" s="77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4"/>
    </row>
    <row r="16" spans="1:18" x14ac:dyDescent="0.2">
      <c r="A16" s="6" t="s">
        <v>8</v>
      </c>
      <c r="B16" s="75"/>
      <c r="C16" s="75"/>
      <c r="D16" s="75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55"/>
    </row>
    <row r="17" spans="1:18" x14ac:dyDescent="0.2">
      <c r="A17" s="10" t="s">
        <v>9</v>
      </c>
      <c r="B17" s="75">
        <v>340491000</v>
      </c>
      <c r="C17" s="75">
        <v>259697000</v>
      </c>
      <c r="D17" s="75">
        <v>384833000</v>
      </c>
      <c r="E17" s="44">
        <f t="shared" si="0"/>
        <v>985021000</v>
      </c>
      <c r="F17" s="38">
        <v>798300000</v>
      </c>
      <c r="G17" s="38">
        <v>974237000</v>
      </c>
      <c r="H17" s="38">
        <v>83470000</v>
      </c>
      <c r="I17" s="44">
        <f t="shared" si="3"/>
        <v>1856007000</v>
      </c>
      <c r="J17" s="38">
        <v>90151000</v>
      </c>
      <c r="K17" s="38">
        <v>94868000</v>
      </c>
      <c r="L17" s="38">
        <v>955420000</v>
      </c>
      <c r="M17" s="44">
        <f t="shared" si="1"/>
        <v>1140439000</v>
      </c>
      <c r="N17" s="38">
        <v>817056000</v>
      </c>
      <c r="O17" s="38">
        <v>82067000</v>
      </c>
      <c r="P17" s="38">
        <v>216727000</v>
      </c>
      <c r="Q17" s="44">
        <f t="shared" si="2"/>
        <v>1115850000</v>
      </c>
      <c r="R17" s="45">
        <f t="shared" ref="R17:R32" si="7">SUM(Q17,M17,I17,E17)</f>
        <v>5097317000</v>
      </c>
    </row>
    <row r="18" spans="1:18" x14ac:dyDescent="0.2">
      <c r="A18" s="10" t="s">
        <v>10</v>
      </c>
      <c r="B18" s="75">
        <v>937033000</v>
      </c>
      <c r="C18" s="75">
        <v>771692000</v>
      </c>
      <c r="D18" s="75">
        <v>866755000</v>
      </c>
      <c r="E18" s="44">
        <f t="shared" si="0"/>
        <v>2575480000</v>
      </c>
      <c r="F18" s="38">
        <v>620418000</v>
      </c>
      <c r="G18" s="38">
        <v>496938000</v>
      </c>
      <c r="H18" s="38">
        <v>40267000</v>
      </c>
      <c r="I18" s="56">
        <f t="shared" si="3"/>
        <v>1157623000</v>
      </c>
      <c r="J18" s="38">
        <v>645726000</v>
      </c>
      <c r="K18" s="38">
        <v>169666000</v>
      </c>
      <c r="L18" s="38">
        <v>716347000</v>
      </c>
      <c r="M18" s="56">
        <f t="shared" si="1"/>
        <v>1531739000</v>
      </c>
      <c r="N18" s="38">
        <v>173387000</v>
      </c>
      <c r="O18" s="38">
        <v>319287000</v>
      </c>
      <c r="P18" s="38">
        <v>395591000</v>
      </c>
      <c r="Q18" s="56">
        <f t="shared" si="2"/>
        <v>888265000</v>
      </c>
      <c r="R18" s="45">
        <f t="shared" si="7"/>
        <v>6153107000</v>
      </c>
    </row>
    <row r="19" spans="1:18" x14ac:dyDescent="0.2">
      <c r="A19" s="10" t="s">
        <v>11</v>
      </c>
      <c r="B19" s="75">
        <v>340491000</v>
      </c>
      <c r="C19" s="75">
        <v>259697000</v>
      </c>
      <c r="D19" s="75">
        <v>384833000</v>
      </c>
      <c r="E19" s="44">
        <f t="shared" si="0"/>
        <v>985021000</v>
      </c>
      <c r="F19" s="38">
        <v>798300000</v>
      </c>
      <c r="G19" s="38">
        <v>974237000</v>
      </c>
      <c r="H19" s="38">
        <v>83470000</v>
      </c>
      <c r="I19" s="56">
        <f t="shared" si="3"/>
        <v>1856007000</v>
      </c>
      <c r="J19" s="38">
        <v>90151000</v>
      </c>
      <c r="K19" s="38">
        <v>94868000</v>
      </c>
      <c r="L19" s="38">
        <v>955420000</v>
      </c>
      <c r="M19" s="56">
        <f t="shared" si="1"/>
        <v>1140439000</v>
      </c>
      <c r="N19" s="38">
        <v>817056000</v>
      </c>
      <c r="O19" s="38">
        <v>82067000</v>
      </c>
      <c r="P19" s="38">
        <v>216727000</v>
      </c>
      <c r="Q19" s="56">
        <f t="shared" si="2"/>
        <v>1115850000</v>
      </c>
      <c r="R19" s="45">
        <f t="shared" si="7"/>
        <v>5097317000</v>
      </c>
    </row>
    <row r="20" spans="1:18" x14ac:dyDescent="0.2">
      <c r="A20" s="10" t="s">
        <v>12</v>
      </c>
      <c r="B20" s="75">
        <v>937033000</v>
      </c>
      <c r="C20" s="75">
        <v>771692000</v>
      </c>
      <c r="D20" s="75">
        <v>866755000</v>
      </c>
      <c r="E20" s="44">
        <f t="shared" si="0"/>
        <v>2575480000</v>
      </c>
      <c r="F20" s="38">
        <v>620418000</v>
      </c>
      <c r="G20" s="38">
        <v>496938000</v>
      </c>
      <c r="H20" s="38">
        <v>40267000</v>
      </c>
      <c r="I20" s="56">
        <f t="shared" si="3"/>
        <v>1157623000</v>
      </c>
      <c r="J20" s="38">
        <v>645726000</v>
      </c>
      <c r="K20" s="38">
        <v>169666000</v>
      </c>
      <c r="L20" s="38">
        <v>716347000</v>
      </c>
      <c r="M20" s="56">
        <f t="shared" si="1"/>
        <v>1531739000</v>
      </c>
      <c r="N20" s="38">
        <v>173387000</v>
      </c>
      <c r="O20" s="38">
        <v>319287000</v>
      </c>
      <c r="P20" s="38">
        <v>395591000</v>
      </c>
      <c r="Q20" s="56">
        <f t="shared" si="2"/>
        <v>888265000</v>
      </c>
      <c r="R20" s="45">
        <f t="shared" si="7"/>
        <v>6153107000</v>
      </c>
    </row>
    <row r="21" spans="1:18" x14ac:dyDescent="0.2">
      <c r="A21" s="10" t="s">
        <v>13</v>
      </c>
      <c r="B21" s="75">
        <v>340491000</v>
      </c>
      <c r="C21" s="75">
        <v>259697000</v>
      </c>
      <c r="D21" s="75">
        <v>384833000</v>
      </c>
      <c r="E21" s="44">
        <f t="shared" si="0"/>
        <v>985021000</v>
      </c>
      <c r="F21" s="38">
        <v>798300000</v>
      </c>
      <c r="G21" s="38">
        <v>974237000</v>
      </c>
      <c r="H21" s="38">
        <v>83470000</v>
      </c>
      <c r="I21" s="56">
        <f t="shared" si="3"/>
        <v>1856007000</v>
      </c>
      <c r="J21" s="38">
        <v>90151000</v>
      </c>
      <c r="K21" s="38">
        <v>94868000</v>
      </c>
      <c r="L21" s="38">
        <v>955420000</v>
      </c>
      <c r="M21" s="56">
        <f t="shared" si="1"/>
        <v>1140439000</v>
      </c>
      <c r="N21" s="38">
        <v>817056000</v>
      </c>
      <c r="O21" s="38">
        <v>82067000</v>
      </c>
      <c r="P21" s="38">
        <v>216727000</v>
      </c>
      <c r="Q21" s="56">
        <f t="shared" si="2"/>
        <v>1115850000</v>
      </c>
      <c r="R21" s="45">
        <f t="shared" si="7"/>
        <v>5097317000</v>
      </c>
    </row>
    <row r="22" spans="1:18" x14ac:dyDescent="0.2">
      <c r="A22" s="10" t="s">
        <v>14</v>
      </c>
      <c r="B22" s="75">
        <v>937033000</v>
      </c>
      <c r="C22" s="75">
        <v>771692000</v>
      </c>
      <c r="D22" s="75">
        <v>866755000</v>
      </c>
      <c r="E22" s="44">
        <f t="shared" si="0"/>
        <v>2575480000</v>
      </c>
      <c r="F22" s="38">
        <v>620418000</v>
      </c>
      <c r="G22" s="38">
        <v>496938000</v>
      </c>
      <c r="H22" s="38">
        <v>40267000</v>
      </c>
      <c r="I22" s="56">
        <f t="shared" si="3"/>
        <v>1157623000</v>
      </c>
      <c r="J22" s="38">
        <v>645726000</v>
      </c>
      <c r="K22" s="38">
        <v>169666000</v>
      </c>
      <c r="L22" s="38">
        <v>716347000</v>
      </c>
      <c r="M22" s="56">
        <f t="shared" si="1"/>
        <v>1531739000</v>
      </c>
      <c r="N22" s="38">
        <v>173387000</v>
      </c>
      <c r="O22" s="38">
        <v>319287000</v>
      </c>
      <c r="P22" s="38">
        <v>395591000</v>
      </c>
      <c r="Q22" s="56">
        <f t="shared" si="2"/>
        <v>888265000</v>
      </c>
      <c r="R22" s="45">
        <f t="shared" si="7"/>
        <v>6153107000</v>
      </c>
    </row>
    <row r="23" spans="1:18" x14ac:dyDescent="0.2">
      <c r="A23" s="10" t="s">
        <v>15</v>
      </c>
      <c r="B23" s="75">
        <v>340491000</v>
      </c>
      <c r="C23" s="75">
        <v>259697000</v>
      </c>
      <c r="D23" s="75">
        <v>384833000</v>
      </c>
      <c r="E23" s="44">
        <f t="shared" si="0"/>
        <v>985021000</v>
      </c>
      <c r="F23" s="38">
        <v>798300000</v>
      </c>
      <c r="G23" s="38">
        <v>974237000</v>
      </c>
      <c r="H23" s="38">
        <v>83470000</v>
      </c>
      <c r="I23" s="56">
        <f t="shared" si="3"/>
        <v>1856007000</v>
      </c>
      <c r="J23" s="38">
        <v>90151000</v>
      </c>
      <c r="K23" s="38">
        <v>94868000</v>
      </c>
      <c r="L23" s="38">
        <v>955420000</v>
      </c>
      <c r="M23" s="56">
        <f t="shared" si="1"/>
        <v>1140439000</v>
      </c>
      <c r="N23" s="38">
        <v>817056000</v>
      </c>
      <c r="O23" s="38">
        <v>82067000</v>
      </c>
      <c r="P23" s="38">
        <v>216727000</v>
      </c>
      <c r="Q23" s="56">
        <f t="shared" si="2"/>
        <v>1115850000</v>
      </c>
      <c r="R23" s="45">
        <f t="shared" si="7"/>
        <v>5097317000</v>
      </c>
    </row>
    <row r="24" spans="1:18" x14ac:dyDescent="0.2">
      <c r="A24" s="10" t="s">
        <v>16</v>
      </c>
      <c r="B24" s="75">
        <v>937033000</v>
      </c>
      <c r="C24" s="75">
        <v>771692000</v>
      </c>
      <c r="D24" s="75">
        <v>866755000</v>
      </c>
      <c r="E24" s="44">
        <f t="shared" si="0"/>
        <v>2575480000</v>
      </c>
      <c r="F24" s="38">
        <v>620418000</v>
      </c>
      <c r="G24" s="38">
        <v>496938000</v>
      </c>
      <c r="H24" s="38">
        <v>40267000</v>
      </c>
      <c r="I24" s="56">
        <f t="shared" si="3"/>
        <v>1157623000</v>
      </c>
      <c r="J24" s="38">
        <v>645726000</v>
      </c>
      <c r="K24" s="38">
        <v>169666000</v>
      </c>
      <c r="L24" s="38">
        <v>716347000</v>
      </c>
      <c r="M24" s="56">
        <f t="shared" si="1"/>
        <v>1531739000</v>
      </c>
      <c r="N24" s="38">
        <v>173387000</v>
      </c>
      <c r="O24" s="38">
        <v>319287000</v>
      </c>
      <c r="P24" s="38">
        <v>395591000</v>
      </c>
      <c r="Q24" s="56">
        <f t="shared" si="2"/>
        <v>888265000</v>
      </c>
      <c r="R24" s="45">
        <f t="shared" si="7"/>
        <v>6153107000</v>
      </c>
    </row>
    <row r="25" spans="1:18" x14ac:dyDescent="0.2">
      <c r="A25" s="10" t="s">
        <v>17</v>
      </c>
      <c r="B25" s="75">
        <v>340491000</v>
      </c>
      <c r="C25" s="75">
        <v>259697000</v>
      </c>
      <c r="D25" s="75">
        <v>384833000</v>
      </c>
      <c r="E25" s="44">
        <f t="shared" si="0"/>
        <v>985021000</v>
      </c>
      <c r="F25" s="38">
        <v>798300000</v>
      </c>
      <c r="G25" s="38">
        <v>974237000</v>
      </c>
      <c r="H25" s="38">
        <v>83470000</v>
      </c>
      <c r="I25" s="56">
        <f t="shared" si="3"/>
        <v>1856007000</v>
      </c>
      <c r="J25" s="38">
        <v>90151000</v>
      </c>
      <c r="K25" s="38">
        <v>94868000</v>
      </c>
      <c r="L25" s="38">
        <v>955420000</v>
      </c>
      <c r="M25" s="56">
        <f t="shared" si="1"/>
        <v>1140439000</v>
      </c>
      <c r="N25" s="38">
        <v>817056000</v>
      </c>
      <c r="O25" s="38">
        <v>82067000</v>
      </c>
      <c r="P25" s="38">
        <v>216727000</v>
      </c>
      <c r="Q25" s="56">
        <f t="shared" si="2"/>
        <v>1115850000</v>
      </c>
      <c r="R25" s="45">
        <f t="shared" si="7"/>
        <v>5097317000</v>
      </c>
    </row>
    <row r="26" spans="1:18" x14ac:dyDescent="0.2">
      <c r="A26" s="10" t="s">
        <v>18</v>
      </c>
      <c r="B26" s="75">
        <v>937033000</v>
      </c>
      <c r="C26" s="75">
        <v>771692000</v>
      </c>
      <c r="D26" s="75">
        <v>866755000</v>
      </c>
      <c r="E26" s="44">
        <f t="shared" si="0"/>
        <v>2575480000</v>
      </c>
      <c r="F26" s="38">
        <v>620418000</v>
      </c>
      <c r="G26" s="38">
        <v>496938000</v>
      </c>
      <c r="H26" s="38">
        <v>40267000</v>
      </c>
      <c r="I26" s="56">
        <f t="shared" si="3"/>
        <v>1157623000</v>
      </c>
      <c r="J26" s="38">
        <v>645726000</v>
      </c>
      <c r="K26" s="38">
        <v>169666000</v>
      </c>
      <c r="L26" s="38">
        <v>716347000</v>
      </c>
      <c r="M26" s="56">
        <f t="shared" si="1"/>
        <v>1531739000</v>
      </c>
      <c r="N26" s="38">
        <v>173387000</v>
      </c>
      <c r="O26" s="38">
        <v>319287000</v>
      </c>
      <c r="P26" s="38">
        <v>395591000</v>
      </c>
      <c r="Q26" s="56">
        <f t="shared" si="2"/>
        <v>888265000</v>
      </c>
      <c r="R26" s="45">
        <f t="shared" si="7"/>
        <v>6153107000</v>
      </c>
    </row>
    <row r="27" spans="1:18" x14ac:dyDescent="0.2">
      <c r="A27" s="10" t="s">
        <v>19</v>
      </c>
      <c r="B27" s="75">
        <v>340491000</v>
      </c>
      <c r="C27" s="75">
        <v>259697000</v>
      </c>
      <c r="D27" s="75">
        <v>384833000</v>
      </c>
      <c r="E27" s="44">
        <f t="shared" si="0"/>
        <v>985021000</v>
      </c>
      <c r="F27" s="38">
        <v>798300000</v>
      </c>
      <c r="G27" s="38">
        <v>974237000</v>
      </c>
      <c r="H27" s="38">
        <v>83470000</v>
      </c>
      <c r="I27" s="56">
        <f t="shared" si="3"/>
        <v>1856007000</v>
      </c>
      <c r="J27" s="38">
        <v>90151000</v>
      </c>
      <c r="K27" s="38">
        <v>94868000</v>
      </c>
      <c r="L27" s="38">
        <v>955420000</v>
      </c>
      <c r="M27" s="56">
        <f t="shared" si="1"/>
        <v>1140439000</v>
      </c>
      <c r="N27" s="38">
        <v>817056000</v>
      </c>
      <c r="O27" s="38">
        <v>82067000</v>
      </c>
      <c r="P27" s="38">
        <v>216727000</v>
      </c>
      <c r="Q27" s="56">
        <f t="shared" si="2"/>
        <v>1115850000</v>
      </c>
      <c r="R27" s="45">
        <f t="shared" si="7"/>
        <v>5097317000</v>
      </c>
    </row>
    <row r="28" spans="1:18" x14ac:dyDescent="0.2">
      <c r="A28" s="10" t="s">
        <v>20</v>
      </c>
      <c r="B28" s="75">
        <v>937033000</v>
      </c>
      <c r="C28" s="75">
        <v>771692000</v>
      </c>
      <c r="D28" s="75">
        <v>866755000</v>
      </c>
      <c r="E28" s="44">
        <f t="shared" si="0"/>
        <v>2575480000</v>
      </c>
      <c r="F28" s="38">
        <v>620418000</v>
      </c>
      <c r="G28" s="38">
        <v>496938000</v>
      </c>
      <c r="H28" s="38">
        <v>40267000</v>
      </c>
      <c r="I28" s="56">
        <f t="shared" si="3"/>
        <v>1157623000</v>
      </c>
      <c r="J28" s="38">
        <v>645726000</v>
      </c>
      <c r="K28" s="38">
        <v>169666000</v>
      </c>
      <c r="L28" s="38">
        <v>716347000</v>
      </c>
      <c r="M28" s="56">
        <f t="shared" si="1"/>
        <v>1531739000</v>
      </c>
      <c r="N28" s="38">
        <v>173387000</v>
      </c>
      <c r="O28" s="38">
        <v>319287000</v>
      </c>
      <c r="P28" s="38">
        <v>395591000</v>
      </c>
      <c r="Q28" s="56">
        <f t="shared" si="2"/>
        <v>888265000</v>
      </c>
      <c r="R28" s="45">
        <f t="shared" si="7"/>
        <v>6153107000</v>
      </c>
    </row>
    <row r="29" spans="1:18" x14ac:dyDescent="0.2">
      <c r="A29" s="10" t="s">
        <v>21</v>
      </c>
      <c r="B29" s="75">
        <v>340491000</v>
      </c>
      <c r="C29" s="75">
        <v>259697000</v>
      </c>
      <c r="D29" s="75">
        <v>384833000</v>
      </c>
      <c r="E29" s="44">
        <f t="shared" si="0"/>
        <v>985021000</v>
      </c>
      <c r="F29" s="38">
        <v>798300000</v>
      </c>
      <c r="G29" s="38">
        <v>974237000</v>
      </c>
      <c r="H29" s="38">
        <v>83470000</v>
      </c>
      <c r="I29" s="56">
        <f t="shared" si="3"/>
        <v>1856007000</v>
      </c>
      <c r="J29" s="38">
        <v>90151000</v>
      </c>
      <c r="K29" s="38">
        <v>94868000</v>
      </c>
      <c r="L29" s="38">
        <v>955420000</v>
      </c>
      <c r="M29" s="56">
        <f t="shared" si="1"/>
        <v>1140439000</v>
      </c>
      <c r="N29" s="38">
        <v>817056000</v>
      </c>
      <c r="O29" s="38">
        <v>82067000</v>
      </c>
      <c r="P29" s="38">
        <v>216727000</v>
      </c>
      <c r="Q29" s="56">
        <f t="shared" si="2"/>
        <v>1115850000</v>
      </c>
      <c r="R29" s="45">
        <f t="shared" si="7"/>
        <v>5097317000</v>
      </c>
    </row>
    <row r="30" spans="1:18" x14ac:dyDescent="0.2">
      <c r="A30" s="10" t="s">
        <v>22</v>
      </c>
      <c r="B30" s="75">
        <v>937033000</v>
      </c>
      <c r="C30" s="75">
        <v>771692000</v>
      </c>
      <c r="D30" s="75">
        <v>866755000</v>
      </c>
      <c r="E30" s="44">
        <f t="shared" si="0"/>
        <v>2575480000</v>
      </c>
      <c r="F30" s="38">
        <v>620418000</v>
      </c>
      <c r="G30" s="38">
        <v>496938000</v>
      </c>
      <c r="H30" s="38">
        <v>40267000</v>
      </c>
      <c r="I30" s="56">
        <f t="shared" si="3"/>
        <v>1157623000</v>
      </c>
      <c r="J30" s="38">
        <v>645726000</v>
      </c>
      <c r="K30" s="38">
        <v>169666000</v>
      </c>
      <c r="L30" s="38">
        <v>716347000</v>
      </c>
      <c r="M30" s="56">
        <f t="shared" si="1"/>
        <v>1531739000</v>
      </c>
      <c r="N30" s="38">
        <v>173387000</v>
      </c>
      <c r="O30" s="38">
        <v>319287000</v>
      </c>
      <c r="P30" s="38">
        <v>395591000</v>
      </c>
      <c r="Q30" s="56">
        <f t="shared" si="2"/>
        <v>888265000</v>
      </c>
      <c r="R30" s="45">
        <f t="shared" si="7"/>
        <v>6153107000</v>
      </c>
    </row>
    <row r="31" spans="1:18" x14ac:dyDescent="0.2">
      <c r="A31" s="10" t="s">
        <v>23</v>
      </c>
      <c r="B31" s="75">
        <v>340491000</v>
      </c>
      <c r="C31" s="75">
        <v>259697000</v>
      </c>
      <c r="D31" s="75">
        <v>384833000</v>
      </c>
      <c r="E31" s="44">
        <f t="shared" si="0"/>
        <v>985021000</v>
      </c>
      <c r="F31" s="38">
        <v>798300000</v>
      </c>
      <c r="G31" s="38">
        <v>974237000</v>
      </c>
      <c r="H31" s="38">
        <v>83470000</v>
      </c>
      <c r="I31" s="56">
        <f t="shared" si="3"/>
        <v>1856007000</v>
      </c>
      <c r="J31" s="38">
        <v>90151000</v>
      </c>
      <c r="K31" s="38">
        <v>94868000</v>
      </c>
      <c r="L31" s="38">
        <v>955420000</v>
      </c>
      <c r="M31" s="56">
        <f t="shared" si="1"/>
        <v>1140439000</v>
      </c>
      <c r="N31" s="38">
        <v>817056000</v>
      </c>
      <c r="O31" s="38">
        <v>82067000</v>
      </c>
      <c r="P31" s="38">
        <v>216727000</v>
      </c>
      <c r="Q31" s="56">
        <f t="shared" si="2"/>
        <v>1115850000</v>
      </c>
      <c r="R31" s="45">
        <f t="shared" si="7"/>
        <v>5097317000</v>
      </c>
    </row>
    <row r="32" spans="1:18" x14ac:dyDescent="0.2">
      <c r="A32" s="10" t="s">
        <v>24</v>
      </c>
      <c r="B32" s="75">
        <v>937033000</v>
      </c>
      <c r="C32" s="75">
        <v>771692000</v>
      </c>
      <c r="D32" s="75">
        <v>866755000</v>
      </c>
      <c r="E32" s="46">
        <f t="shared" si="0"/>
        <v>2575480000</v>
      </c>
      <c r="F32" s="38">
        <v>620418000</v>
      </c>
      <c r="G32" s="38">
        <v>496938000</v>
      </c>
      <c r="H32" s="38">
        <v>40267000</v>
      </c>
      <c r="I32" s="47">
        <f t="shared" si="3"/>
        <v>1157623000</v>
      </c>
      <c r="J32" s="38">
        <v>645726000</v>
      </c>
      <c r="K32" s="38">
        <v>169666000</v>
      </c>
      <c r="L32" s="38">
        <v>716347000</v>
      </c>
      <c r="M32" s="47">
        <f t="shared" si="1"/>
        <v>1531739000</v>
      </c>
      <c r="N32" s="38">
        <v>173387000</v>
      </c>
      <c r="O32" s="38">
        <v>319287000</v>
      </c>
      <c r="P32" s="38">
        <v>395591000</v>
      </c>
      <c r="Q32" s="47">
        <f t="shared" si="2"/>
        <v>888265000</v>
      </c>
      <c r="R32" s="48">
        <f t="shared" si="7"/>
        <v>6153107000</v>
      </c>
    </row>
    <row r="33" spans="1:18" ht="13.5" thickBot="1" x14ac:dyDescent="0.25">
      <c r="A33" s="11" t="s">
        <v>25</v>
      </c>
      <c r="B33" s="76">
        <f t="shared" ref="B33:P33" si="8">SUM(B17:B32)</f>
        <v>10220192000</v>
      </c>
      <c r="C33" s="76">
        <f t="shared" si="8"/>
        <v>8251112000</v>
      </c>
      <c r="D33" s="76">
        <f t="shared" si="8"/>
        <v>10012704000</v>
      </c>
      <c r="E33" s="50">
        <f>SUM(E17:E32)</f>
        <v>28484008000</v>
      </c>
      <c r="F33" s="49">
        <f t="shared" si="8"/>
        <v>11349744000</v>
      </c>
      <c r="G33" s="49">
        <f t="shared" si="8"/>
        <v>11769400000</v>
      </c>
      <c r="H33" s="49">
        <f t="shared" si="8"/>
        <v>989896000</v>
      </c>
      <c r="I33" s="51">
        <f>SUM(I17:I32)</f>
        <v>24109040000</v>
      </c>
      <c r="J33" s="49">
        <f t="shared" si="8"/>
        <v>5887016000</v>
      </c>
      <c r="K33" s="49">
        <f t="shared" si="8"/>
        <v>2116272000</v>
      </c>
      <c r="L33" s="49">
        <f t="shared" si="8"/>
        <v>13374136000</v>
      </c>
      <c r="M33" s="51">
        <f>SUM(M17:M32)</f>
        <v>21377424000</v>
      </c>
      <c r="N33" s="49">
        <f t="shared" si="8"/>
        <v>7923544000</v>
      </c>
      <c r="O33" s="49">
        <f t="shared" si="8"/>
        <v>3210832000</v>
      </c>
      <c r="P33" s="49">
        <f t="shared" si="8"/>
        <v>4898544000</v>
      </c>
      <c r="Q33" s="51">
        <f>SUM(Q17:Q32)</f>
        <v>16032920000</v>
      </c>
      <c r="R33" s="52">
        <f>SUM(R17:R32)</f>
        <v>90003392000</v>
      </c>
    </row>
    <row r="34" spans="1:18" x14ac:dyDescent="0.2">
      <c r="A34" s="12"/>
      <c r="B34" s="77"/>
      <c r="C34" s="77"/>
      <c r="D34" s="77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4"/>
    </row>
    <row r="35" spans="1:18" x14ac:dyDescent="0.2">
      <c r="A35" s="24" t="s">
        <v>44</v>
      </c>
      <c r="B35" s="78">
        <f t="shared" ref="B35:R35" si="9">B7+B14+B33</f>
        <v>14052764000</v>
      </c>
      <c r="C35" s="78">
        <f t="shared" si="9"/>
        <v>11345279000</v>
      </c>
      <c r="D35" s="78">
        <f t="shared" si="9"/>
        <v>13767468000</v>
      </c>
      <c r="E35" s="55">
        <f t="shared" si="9"/>
        <v>39165511000</v>
      </c>
      <c r="F35" s="55">
        <f t="shared" si="9"/>
        <v>15605898000</v>
      </c>
      <c r="G35" s="55">
        <f t="shared" si="9"/>
        <v>16182925000</v>
      </c>
      <c r="H35" s="55">
        <f t="shared" si="9"/>
        <v>1361107000</v>
      </c>
      <c r="I35" s="55">
        <f t="shared" si="9"/>
        <v>33149930000</v>
      </c>
      <c r="J35" s="55">
        <f t="shared" si="9"/>
        <v>8094647000</v>
      </c>
      <c r="K35" s="55">
        <f t="shared" si="9"/>
        <v>2909874000</v>
      </c>
      <c r="L35" s="55">
        <f t="shared" si="9"/>
        <v>18389437000</v>
      </c>
      <c r="M35" s="55">
        <f t="shared" si="9"/>
        <v>29393958000</v>
      </c>
      <c r="N35" s="55">
        <f t="shared" si="9"/>
        <v>10894873000</v>
      </c>
      <c r="O35" s="55">
        <f t="shared" si="9"/>
        <v>4414894000</v>
      </c>
      <c r="P35" s="55">
        <f t="shared" si="9"/>
        <v>6735498000</v>
      </c>
      <c r="Q35" s="55">
        <f t="shared" si="9"/>
        <v>22045265000</v>
      </c>
      <c r="R35" s="55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I12" sqref="I12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68">
        <v>1200</v>
      </c>
      <c r="C4" s="68">
        <v>1131</v>
      </c>
      <c r="D4" s="68">
        <v>1014.5999999999999</v>
      </c>
      <c r="E4" s="68">
        <v>838</v>
      </c>
      <c r="F4" s="68">
        <v>1339</v>
      </c>
      <c r="G4" s="68">
        <v>458</v>
      </c>
      <c r="H4" s="39">
        <f t="shared" ref="H4:H9" si="0">SUM(B4:G4)</f>
        <v>5980.6</v>
      </c>
    </row>
    <row r="5" spans="1:8" ht="19.5" x14ac:dyDescent="0.25">
      <c r="A5" s="30" t="s">
        <v>49</v>
      </c>
      <c r="B5" s="68">
        <v>521</v>
      </c>
      <c r="C5" s="68">
        <v>1116</v>
      </c>
      <c r="D5" s="68">
        <v>372.29999999999995</v>
      </c>
      <c r="E5" s="68">
        <v>1798</v>
      </c>
      <c r="F5" s="68">
        <v>416</v>
      </c>
      <c r="G5" s="68">
        <v>1216</v>
      </c>
      <c r="H5" s="39">
        <f t="shared" si="0"/>
        <v>5439.3</v>
      </c>
    </row>
    <row r="6" spans="1:8" ht="19.5" x14ac:dyDescent="0.25">
      <c r="A6" s="31" t="s">
        <v>50</v>
      </c>
      <c r="B6" s="68">
        <v>1000</v>
      </c>
      <c r="C6" s="68">
        <v>1354</v>
      </c>
      <c r="D6" s="68">
        <v>991.59999999999991</v>
      </c>
      <c r="E6" s="68">
        <v>1882</v>
      </c>
      <c r="F6" s="68">
        <v>896</v>
      </c>
      <c r="G6" s="68">
        <v>916</v>
      </c>
      <c r="H6" s="39">
        <f t="shared" si="0"/>
        <v>7039.6</v>
      </c>
    </row>
    <row r="7" spans="1:8" ht="19.5" x14ac:dyDescent="0.25">
      <c r="A7" s="31" t="s">
        <v>51</v>
      </c>
      <c r="B7" s="68">
        <v>1500</v>
      </c>
      <c r="C7" s="68">
        <v>894</v>
      </c>
      <c r="D7" s="68">
        <v>1091.0999999999999</v>
      </c>
      <c r="E7" s="68">
        <v>1035</v>
      </c>
      <c r="F7" s="68">
        <v>1683</v>
      </c>
      <c r="G7" s="68">
        <v>699</v>
      </c>
      <c r="H7" s="39">
        <f t="shared" si="0"/>
        <v>6902.1</v>
      </c>
    </row>
    <row r="8" spans="1:8" ht="19.5" x14ac:dyDescent="0.25">
      <c r="A8" s="31" t="s">
        <v>52</v>
      </c>
      <c r="B8" s="68">
        <v>810</v>
      </c>
      <c r="C8" s="68">
        <v>1268</v>
      </c>
      <c r="D8" s="68">
        <v>822.09999999999991</v>
      </c>
      <c r="E8" s="68">
        <v>1844</v>
      </c>
      <c r="F8" s="68">
        <v>990</v>
      </c>
      <c r="G8" s="68">
        <v>1857</v>
      </c>
      <c r="H8" s="39">
        <f t="shared" si="0"/>
        <v>7591.1</v>
      </c>
    </row>
    <row r="9" spans="1:8" ht="19.5" x14ac:dyDescent="0.25">
      <c r="A9" s="34" t="s">
        <v>53</v>
      </c>
      <c r="B9" s="69">
        <v>564</v>
      </c>
      <c r="C9" s="69">
        <v>986</v>
      </c>
      <c r="D9" s="69">
        <v>1350.1</v>
      </c>
      <c r="E9" s="69">
        <v>1149</v>
      </c>
      <c r="F9" s="69">
        <v>903</v>
      </c>
      <c r="G9" s="69">
        <v>722</v>
      </c>
      <c r="H9" s="40">
        <f t="shared" si="0"/>
        <v>5674.1</v>
      </c>
    </row>
    <row r="10" spans="1:8" ht="20.25" thickBot="1" x14ac:dyDescent="0.3">
      <c r="A10" s="35" t="s">
        <v>39</v>
      </c>
      <c r="B10" s="41">
        <f t="shared" ref="B10:H10" si="1">SUBTOTAL(109,B4:B9)</f>
        <v>5595</v>
      </c>
      <c r="C10" s="41">
        <f t="shared" si="1"/>
        <v>6749</v>
      </c>
      <c r="D10" s="41">
        <f t="shared" si="1"/>
        <v>5641.7999999999993</v>
      </c>
      <c r="E10" s="42">
        <f t="shared" si="1"/>
        <v>8546</v>
      </c>
      <c r="F10" s="42">
        <f t="shared" si="1"/>
        <v>6227</v>
      </c>
      <c r="G10" s="42">
        <f t="shared" si="1"/>
        <v>5868</v>
      </c>
      <c r="H10" s="43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J40"/>
  <sheetViews>
    <sheetView zoomScale="86" zoomScaleNormal="86" workbookViewId="0">
      <selection activeCell="G11" sqref="G11"/>
    </sheetView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18.75" bestFit="1" customWidth="1"/>
    <col min="8" max="8" width="6.5" bestFit="1" customWidth="1"/>
    <col min="9" max="9" width="18.8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10" ht="15.75" x14ac:dyDescent="0.25">
      <c r="A1" s="36" t="s">
        <v>56</v>
      </c>
      <c r="C1" s="36" t="s">
        <v>57</v>
      </c>
    </row>
    <row r="2" spans="1:10" ht="15.75" x14ac:dyDescent="0.25">
      <c r="A2" s="36" t="s">
        <v>58</v>
      </c>
      <c r="B2" s="70">
        <v>27.28</v>
      </c>
      <c r="C2" s="57">
        <f t="shared" ref="C2:C9" si="0">B2*0.02</f>
        <v>0.54560000000000008</v>
      </c>
      <c r="F2" s="36" t="s">
        <v>59</v>
      </c>
      <c r="G2" s="36" t="s">
        <v>60</v>
      </c>
      <c r="H2" s="36" t="s">
        <v>61</v>
      </c>
      <c r="I2" s="36" t="s">
        <v>62</v>
      </c>
    </row>
    <row r="3" spans="1:10" ht="15.75" x14ac:dyDescent="0.25">
      <c r="A3" s="36" t="s">
        <v>63</v>
      </c>
      <c r="B3" s="70">
        <v>29.1</v>
      </c>
      <c r="C3" s="57">
        <f t="shared" si="0"/>
        <v>0.58200000000000007</v>
      </c>
      <c r="F3" s="70">
        <v>1</v>
      </c>
      <c r="G3" s="70">
        <v>14</v>
      </c>
      <c r="H3" s="70">
        <v>27.28</v>
      </c>
      <c r="I3" s="57">
        <f t="shared" ref="I3:I14" si="1">G3*H3</f>
        <v>381.92</v>
      </c>
    </row>
    <row r="4" spans="1:10" ht="15.75" x14ac:dyDescent="0.25">
      <c r="A4" s="36" t="s">
        <v>64</v>
      </c>
      <c r="B4" s="70">
        <v>30.98</v>
      </c>
      <c r="C4" s="57">
        <f t="shared" si="0"/>
        <v>0.61960000000000004</v>
      </c>
      <c r="F4" s="70">
        <v>2</v>
      </c>
      <c r="G4" s="70">
        <v>18</v>
      </c>
      <c r="H4" s="70">
        <v>29.1</v>
      </c>
      <c r="I4" s="57">
        <f t="shared" si="1"/>
        <v>523.80000000000007</v>
      </c>
    </row>
    <row r="5" spans="1:10" ht="15.75" x14ac:dyDescent="0.25">
      <c r="A5" s="36" t="s">
        <v>65</v>
      </c>
      <c r="B5" s="70">
        <v>32.99</v>
      </c>
      <c r="C5" s="57">
        <f t="shared" si="0"/>
        <v>0.65980000000000005</v>
      </c>
      <c r="F5" s="70">
        <v>3</v>
      </c>
      <c r="G5" s="70">
        <v>22</v>
      </c>
      <c r="H5" s="70">
        <v>30.98</v>
      </c>
      <c r="I5" s="57">
        <f t="shared" si="1"/>
        <v>681.56000000000006</v>
      </c>
    </row>
    <row r="6" spans="1:10" ht="15.75" x14ac:dyDescent="0.25">
      <c r="A6" s="36" t="s">
        <v>66</v>
      </c>
      <c r="B6" s="70">
        <v>34.9</v>
      </c>
      <c r="C6" s="57">
        <f t="shared" si="0"/>
        <v>0.69799999999999995</v>
      </c>
      <c r="F6" s="70">
        <v>4</v>
      </c>
      <c r="G6" s="70">
        <v>8</v>
      </c>
      <c r="H6" s="70">
        <v>32.99</v>
      </c>
      <c r="I6" s="57">
        <f t="shared" si="1"/>
        <v>263.92</v>
      </c>
    </row>
    <row r="7" spans="1:10" ht="15.75" x14ac:dyDescent="0.25">
      <c r="A7" s="36" t="s">
        <v>67</v>
      </c>
      <c r="B7" s="70">
        <v>36.979999999999997</v>
      </c>
      <c r="C7" s="57">
        <f t="shared" si="0"/>
        <v>0.73959999999999992</v>
      </c>
      <c r="F7" s="70">
        <v>5</v>
      </c>
      <c r="G7" s="70">
        <v>17</v>
      </c>
      <c r="H7" s="70">
        <v>34.9</v>
      </c>
      <c r="I7" s="57">
        <f t="shared" si="1"/>
        <v>593.29999999999995</v>
      </c>
    </row>
    <row r="8" spans="1:10" ht="15.75" x14ac:dyDescent="0.25">
      <c r="A8" s="36" t="s">
        <v>68</v>
      </c>
      <c r="B8" s="70">
        <v>39.9</v>
      </c>
      <c r="C8" s="57">
        <f t="shared" si="0"/>
        <v>0.79800000000000004</v>
      </c>
      <c r="F8" s="70">
        <v>6</v>
      </c>
      <c r="G8" s="70">
        <v>23</v>
      </c>
      <c r="H8" s="70">
        <v>36.979999999999997</v>
      </c>
      <c r="I8" s="57">
        <f t="shared" si="1"/>
        <v>850.54</v>
      </c>
    </row>
    <row r="9" spans="1:10" ht="15.75" x14ac:dyDescent="0.25">
      <c r="A9" s="36" t="s">
        <v>69</v>
      </c>
      <c r="B9" s="70">
        <v>46.96</v>
      </c>
      <c r="C9" s="57">
        <f t="shared" si="0"/>
        <v>0.93920000000000003</v>
      </c>
      <c r="F9" s="70">
        <v>7</v>
      </c>
      <c r="G9" s="70">
        <v>15</v>
      </c>
      <c r="H9" s="70">
        <v>39.9</v>
      </c>
      <c r="I9" s="57">
        <f t="shared" si="1"/>
        <v>598.5</v>
      </c>
    </row>
    <row r="10" spans="1:10" ht="15" x14ac:dyDescent="0.25">
      <c r="F10" s="70">
        <v>8</v>
      </c>
      <c r="G10" s="70">
        <v>21</v>
      </c>
      <c r="H10" s="70">
        <v>46.96</v>
      </c>
      <c r="I10" s="57">
        <f t="shared" si="1"/>
        <v>986.16</v>
      </c>
    </row>
    <row r="11" spans="1:10" ht="15.75" x14ac:dyDescent="0.25">
      <c r="A11" s="36" t="s">
        <v>70</v>
      </c>
      <c r="B11" s="36" t="s">
        <v>71</v>
      </c>
      <c r="D11" s="36" t="s">
        <v>72</v>
      </c>
      <c r="F11" s="70">
        <v>9</v>
      </c>
      <c r="G11" s="70">
        <v>22</v>
      </c>
      <c r="H11" s="70">
        <v>27.28</v>
      </c>
      <c r="I11" s="57">
        <f t="shared" si="1"/>
        <v>600.16000000000008</v>
      </c>
    </row>
    <row r="12" spans="1:10" ht="15.75" x14ac:dyDescent="0.25">
      <c r="A12" s="36" t="s">
        <v>73</v>
      </c>
      <c r="B12" s="70">
        <v>4761</v>
      </c>
      <c r="D12" s="70">
        <v>4761</v>
      </c>
      <c r="F12" s="70">
        <v>10</v>
      </c>
      <c r="G12" s="70">
        <v>22</v>
      </c>
      <c r="H12" s="70">
        <v>29.1</v>
      </c>
      <c r="I12" s="57">
        <f t="shared" si="1"/>
        <v>640.20000000000005</v>
      </c>
    </row>
    <row r="13" spans="1:10" ht="15.75" x14ac:dyDescent="0.25">
      <c r="A13" s="36" t="s">
        <v>74</v>
      </c>
      <c r="B13" s="70">
        <v>1826</v>
      </c>
      <c r="D13" s="70">
        <v>1826</v>
      </c>
      <c r="F13" s="70">
        <v>11</v>
      </c>
      <c r="G13" s="70">
        <v>16</v>
      </c>
      <c r="H13" s="70">
        <v>30.98</v>
      </c>
      <c r="I13" s="57">
        <f t="shared" si="1"/>
        <v>495.68</v>
      </c>
    </row>
    <row r="14" spans="1:10" ht="15.75" x14ac:dyDescent="0.25">
      <c r="A14" s="36" t="s">
        <v>75</v>
      </c>
      <c r="B14" s="70">
        <v>1439</v>
      </c>
      <c r="D14" s="70">
        <v>1439</v>
      </c>
      <c r="E14" s="36"/>
      <c r="F14" s="70">
        <v>12</v>
      </c>
      <c r="G14" s="70">
        <v>24</v>
      </c>
      <c r="H14" s="70">
        <v>32.99</v>
      </c>
      <c r="I14" s="57">
        <f t="shared" si="1"/>
        <v>791.76</v>
      </c>
    </row>
    <row r="15" spans="1:10" ht="16.5" thickBot="1" x14ac:dyDescent="0.3">
      <c r="A15" s="36" t="s">
        <v>76</v>
      </c>
      <c r="B15" s="70">
        <v>2869</v>
      </c>
      <c r="D15" s="70">
        <v>2869</v>
      </c>
      <c r="E15" s="57"/>
    </row>
    <row r="16" spans="1:10" ht="15.75" x14ac:dyDescent="0.25">
      <c r="A16" s="36" t="s">
        <v>77</v>
      </c>
      <c r="B16" s="57">
        <f>B2*0.05</f>
        <v>1.3640000000000001</v>
      </c>
      <c r="D16" s="57">
        <f>B4*0.05</f>
        <v>1.5490000000000002</v>
      </c>
      <c r="E16" s="57"/>
      <c r="G16" s="58"/>
      <c r="H16" s="59"/>
      <c r="I16" s="60" t="s">
        <v>78</v>
      </c>
      <c r="J16" s="61" t="s">
        <v>79</v>
      </c>
    </row>
    <row r="17" spans="1:10" ht="15" x14ac:dyDescent="0.25">
      <c r="E17" s="57"/>
      <c r="G17" s="62"/>
      <c r="H17" s="63"/>
      <c r="I17" s="63"/>
      <c r="J17" s="64"/>
    </row>
    <row r="18" spans="1:10" ht="15.75" x14ac:dyDescent="0.25">
      <c r="A18" s="36" t="s">
        <v>70</v>
      </c>
      <c r="B18" s="36" t="s">
        <v>80</v>
      </c>
      <c r="D18" s="36" t="s">
        <v>81</v>
      </c>
      <c r="E18" s="57"/>
      <c r="G18" s="65" t="s">
        <v>71</v>
      </c>
      <c r="H18" s="63"/>
      <c r="I18" s="71">
        <v>6.5</v>
      </c>
      <c r="J18" s="72">
        <v>220</v>
      </c>
    </row>
    <row r="19" spans="1:10" ht="15.75" x14ac:dyDescent="0.25">
      <c r="A19" s="36" t="s">
        <v>73</v>
      </c>
      <c r="B19" s="70">
        <v>4761</v>
      </c>
      <c r="D19" s="70">
        <v>4761</v>
      </c>
      <c r="E19" s="57"/>
      <c r="G19" s="65" t="s">
        <v>80</v>
      </c>
      <c r="H19" s="63"/>
      <c r="I19" s="71">
        <v>6.5</v>
      </c>
      <c r="J19" s="72">
        <v>218</v>
      </c>
    </row>
    <row r="20" spans="1:10" ht="15.75" x14ac:dyDescent="0.25">
      <c r="A20" s="36" t="s">
        <v>74</v>
      </c>
      <c r="B20" s="70">
        <v>1826</v>
      </c>
      <c r="D20" s="70">
        <v>1826</v>
      </c>
      <c r="G20" s="62"/>
      <c r="H20" s="63"/>
      <c r="I20" s="63"/>
      <c r="J20" s="64"/>
    </row>
    <row r="21" spans="1:10" ht="15.75" x14ac:dyDescent="0.25">
      <c r="A21" s="36" t="s">
        <v>75</v>
      </c>
      <c r="B21" s="70">
        <v>1439</v>
      </c>
      <c r="D21" s="70">
        <v>1439</v>
      </c>
      <c r="E21" s="36"/>
      <c r="G21" s="65" t="s">
        <v>82</v>
      </c>
      <c r="H21" s="63"/>
      <c r="I21" s="71">
        <v>6.6</v>
      </c>
      <c r="J21" s="72">
        <v>230</v>
      </c>
    </row>
    <row r="22" spans="1:10" ht="16.5" thickBot="1" x14ac:dyDescent="0.3">
      <c r="A22" s="36" t="s">
        <v>76</v>
      </c>
      <c r="B22" s="70">
        <v>2869</v>
      </c>
      <c r="D22" s="70">
        <v>2869</v>
      </c>
      <c r="E22" s="57"/>
      <c r="G22" s="66" t="s">
        <v>81</v>
      </c>
      <c r="H22" s="67"/>
      <c r="I22" s="73">
        <v>6.6</v>
      </c>
      <c r="J22" s="74">
        <v>230</v>
      </c>
    </row>
    <row r="23" spans="1:10" ht="15" x14ac:dyDescent="0.25">
      <c r="B23" s="57">
        <f>B3*0.05</f>
        <v>1.4550000000000001</v>
      </c>
      <c r="D23" s="57">
        <f>B5*0.05</f>
        <v>1.6495000000000002</v>
      </c>
      <c r="E23" s="57"/>
    </row>
    <row r="24" spans="1:10" ht="15.75" x14ac:dyDescent="0.25">
      <c r="E24" s="57"/>
      <c r="G24" s="36" t="s">
        <v>39</v>
      </c>
      <c r="H24" s="36" t="s">
        <v>60</v>
      </c>
      <c r="I24" s="57">
        <f>SUM(G3:G14)</f>
        <v>222</v>
      </c>
    </row>
    <row r="25" spans="1:10" ht="15.75" x14ac:dyDescent="0.25">
      <c r="A25" s="36" t="s">
        <v>70</v>
      </c>
      <c r="B25" s="36" t="s">
        <v>83</v>
      </c>
      <c r="D25" s="36" t="s">
        <v>84</v>
      </c>
      <c r="E25" s="57"/>
      <c r="H25" s="36" t="s">
        <v>62</v>
      </c>
      <c r="I25" s="57">
        <f>SUM(I3:I14)</f>
        <v>7407.5</v>
      </c>
    </row>
    <row r="26" spans="1:10" ht="15.75" x14ac:dyDescent="0.25">
      <c r="A26" s="36" t="s">
        <v>73</v>
      </c>
      <c r="B26" s="70">
        <v>4761</v>
      </c>
      <c r="D26" s="70">
        <v>4761</v>
      </c>
      <c r="E26" s="57"/>
    </row>
    <row r="27" spans="1:10" ht="15.75" x14ac:dyDescent="0.25">
      <c r="A27" s="36" t="s">
        <v>74</v>
      </c>
      <c r="B27" s="70">
        <v>1826</v>
      </c>
      <c r="D27" s="70">
        <v>1826</v>
      </c>
    </row>
    <row r="28" spans="1:10" ht="15.75" x14ac:dyDescent="0.25">
      <c r="A28" s="36" t="s">
        <v>75</v>
      </c>
      <c r="B28" s="70">
        <v>1439</v>
      </c>
      <c r="D28" s="70">
        <v>1439</v>
      </c>
      <c r="E28" s="36"/>
    </row>
    <row r="29" spans="1:10" ht="15.75" x14ac:dyDescent="0.25">
      <c r="A29" s="36" t="s">
        <v>76</v>
      </c>
      <c r="B29" s="70">
        <v>2869</v>
      </c>
      <c r="D29" s="70">
        <v>2869</v>
      </c>
      <c r="E29" s="57"/>
    </row>
    <row r="30" spans="1:10" ht="15" x14ac:dyDescent="0.25">
      <c r="B30" s="57">
        <f>B9*0.05</f>
        <v>2.3480000000000003</v>
      </c>
      <c r="D30" s="57">
        <f>B5*0.05</f>
        <v>1.6495000000000002</v>
      </c>
      <c r="E30" s="57"/>
    </row>
    <row r="31" spans="1:10" ht="15" x14ac:dyDescent="0.25">
      <c r="E31" s="57"/>
    </row>
    <row r="32" spans="1:10" ht="15.75" x14ac:dyDescent="0.25">
      <c r="A32" s="36" t="s">
        <v>70</v>
      </c>
      <c r="B32" s="36" t="s">
        <v>85</v>
      </c>
      <c r="D32" s="36" t="s">
        <v>86</v>
      </c>
      <c r="E32" s="57"/>
    </row>
    <row r="33" spans="1:5" ht="15.75" x14ac:dyDescent="0.25">
      <c r="A33" s="36" t="s">
        <v>73</v>
      </c>
      <c r="B33" s="70">
        <v>4761</v>
      </c>
      <c r="D33" s="70">
        <v>4761</v>
      </c>
      <c r="E33" s="57"/>
    </row>
    <row r="34" spans="1:5" ht="15.75" x14ac:dyDescent="0.25">
      <c r="A34" s="36" t="s">
        <v>74</v>
      </c>
      <c r="B34" s="70">
        <v>1826</v>
      </c>
      <c r="D34" s="70">
        <v>1826</v>
      </c>
    </row>
    <row r="35" spans="1:5" ht="15.75" x14ac:dyDescent="0.25">
      <c r="A35" s="36" t="s">
        <v>75</v>
      </c>
      <c r="B35" s="70">
        <v>1439</v>
      </c>
      <c r="D35" s="70">
        <v>1439</v>
      </c>
      <c r="E35" s="36"/>
    </row>
    <row r="36" spans="1:5" ht="15.75" x14ac:dyDescent="0.25">
      <c r="A36" s="36" t="s">
        <v>76</v>
      </c>
      <c r="B36" s="70">
        <v>2869</v>
      </c>
      <c r="D36" s="70">
        <v>2869</v>
      </c>
      <c r="E36" s="57"/>
    </row>
    <row r="37" spans="1:5" ht="15" x14ac:dyDescent="0.25">
      <c r="B37" s="57">
        <f>B8*0.05</f>
        <v>1.9950000000000001</v>
      </c>
      <c r="D37" s="57">
        <f>B9*0.05</f>
        <v>2.3480000000000003</v>
      </c>
      <c r="E37" s="57"/>
    </row>
    <row r="38" spans="1:5" ht="15" x14ac:dyDescent="0.25">
      <c r="E38" s="57"/>
    </row>
    <row r="39" spans="1:5" ht="15" x14ac:dyDescent="0.25">
      <c r="E39" s="57"/>
    </row>
    <row r="40" spans="1:5" ht="15" x14ac:dyDescent="0.25">
      <c r="E40" s="57"/>
    </row>
  </sheetData>
  <phoneticPr fontId="6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J42"/>
  <sheetViews>
    <sheetView tabSelected="1" zoomScale="130" zoomScaleNormal="130" workbookViewId="0">
      <selection activeCell="D12" sqref="D12"/>
    </sheetView>
  </sheetViews>
  <sheetFormatPr defaultColWidth="8.875" defaultRowHeight="12.75" x14ac:dyDescent="0.2"/>
  <cols>
    <col min="1" max="1" width="9.25" style="80" customWidth="1"/>
    <col min="2" max="2" width="9.375" style="80" customWidth="1"/>
    <col min="3" max="3" width="27.25" style="80" bestFit="1" customWidth="1"/>
    <col min="4" max="4" width="47.375" style="82" customWidth="1"/>
    <col min="5" max="6" width="11.625" style="80" customWidth="1"/>
    <col min="7" max="7" width="8.5" style="80" bestFit="1" customWidth="1"/>
    <col min="8" max="8" width="9.25" style="80" bestFit="1" customWidth="1"/>
    <col min="9" max="16384" width="8.875" style="80"/>
  </cols>
  <sheetData>
    <row r="1" spans="1:10" x14ac:dyDescent="0.2">
      <c r="A1" s="79" t="s">
        <v>87</v>
      </c>
      <c r="B1" s="79" t="s">
        <v>88</v>
      </c>
      <c r="C1" s="79" t="s">
        <v>89</v>
      </c>
      <c r="G1" s="81" t="s">
        <v>165</v>
      </c>
      <c r="J1" s="81" t="s">
        <v>164</v>
      </c>
    </row>
    <row r="2" spans="1:10" x14ac:dyDescent="0.2">
      <c r="A2" s="79" t="s">
        <v>90</v>
      </c>
      <c r="B2" s="79" t="s">
        <v>91</v>
      </c>
      <c r="C2" s="79" t="s">
        <v>92</v>
      </c>
      <c r="G2" s="80" t="s">
        <v>143</v>
      </c>
      <c r="H2" s="80" t="str">
        <f>UPPER(G2)</f>
        <v>1T3K3507</v>
      </c>
      <c r="J2" s="80">
        <f ca="1">RANDBETWEEN(1111,9999)</f>
        <v>4984</v>
      </c>
    </row>
    <row r="3" spans="1:10" x14ac:dyDescent="0.2">
      <c r="A3" s="79" t="s">
        <v>93</v>
      </c>
      <c r="B3" s="79" t="s">
        <v>94</v>
      </c>
      <c r="C3" s="79" t="s">
        <v>95</v>
      </c>
      <c r="G3" s="80" t="s">
        <v>144</v>
      </c>
      <c r="H3" s="80" t="str">
        <f t="shared" ref="H3:H22" si="0">UPPER(G3)</f>
        <v>8V5B2210</v>
      </c>
      <c r="J3" s="80">
        <f t="shared" ref="J3:J22" ca="1" si="1">RANDBETWEEN(1111,9999)</f>
        <v>7772</v>
      </c>
    </row>
    <row r="4" spans="1:10" x14ac:dyDescent="0.2">
      <c r="A4" s="79" t="s">
        <v>96</v>
      </c>
      <c r="B4" s="79" t="s">
        <v>97</v>
      </c>
      <c r="C4" s="79" t="s">
        <v>98</v>
      </c>
      <c r="G4" s="80" t="s">
        <v>145</v>
      </c>
      <c r="H4" s="80" t="str">
        <f t="shared" si="0"/>
        <v>9R5G8216</v>
      </c>
      <c r="J4" s="80">
        <f t="shared" ca="1" si="1"/>
        <v>1507</v>
      </c>
    </row>
    <row r="5" spans="1:10" x14ac:dyDescent="0.2">
      <c r="A5" s="79" t="s">
        <v>99</v>
      </c>
      <c r="B5" s="79" t="s">
        <v>100</v>
      </c>
      <c r="C5" s="79" t="s">
        <v>101</v>
      </c>
      <c r="G5" s="80" t="s">
        <v>146</v>
      </c>
      <c r="H5" s="80" t="str">
        <f t="shared" si="0"/>
        <v>6N7X7266</v>
      </c>
      <c r="J5" s="80">
        <f t="shared" ca="1" si="1"/>
        <v>4347</v>
      </c>
    </row>
    <row r="6" spans="1:10" x14ac:dyDescent="0.2">
      <c r="A6" s="79" t="s">
        <v>102</v>
      </c>
      <c r="B6" s="79" t="s">
        <v>103</v>
      </c>
      <c r="C6" s="79" t="s">
        <v>104</v>
      </c>
      <c r="G6" s="80" t="s">
        <v>147</v>
      </c>
      <c r="H6" s="80" t="str">
        <f t="shared" si="0"/>
        <v>7W1X9049</v>
      </c>
      <c r="J6" s="80">
        <f t="shared" ca="1" si="1"/>
        <v>5810</v>
      </c>
    </row>
    <row r="7" spans="1:10" x14ac:dyDescent="0.2">
      <c r="A7" s="79" t="s">
        <v>102</v>
      </c>
      <c r="B7" s="79" t="s">
        <v>105</v>
      </c>
      <c r="C7" s="79" t="s">
        <v>106</v>
      </c>
      <c r="G7" s="80" t="s">
        <v>148</v>
      </c>
      <c r="H7" s="80" t="str">
        <f t="shared" si="0"/>
        <v>1J5R9688</v>
      </c>
      <c r="J7" s="80">
        <f t="shared" ca="1" si="1"/>
        <v>2677</v>
      </c>
    </row>
    <row r="8" spans="1:10" x14ac:dyDescent="0.2">
      <c r="A8" s="79" t="s">
        <v>107</v>
      </c>
      <c r="B8" s="79" t="s">
        <v>108</v>
      </c>
      <c r="C8" s="79" t="s">
        <v>109</v>
      </c>
      <c r="G8" s="80" t="s">
        <v>149</v>
      </c>
      <c r="H8" s="80" t="str">
        <f t="shared" si="0"/>
        <v>9J7J8374</v>
      </c>
      <c r="J8" s="80">
        <f t="shared" ca="1" si="1"/>
        <v>8111</v>
      </c>
    </row>
    <row r="9" spans="1:10" x14ac:dyDescent="0.2">
      <c r="A9" s="79" t="s">
        <v>110</v>
      </c>
      <c r="B9" s="79" t="s">
        <v>111</v>
      </c>
      <c r="C9" s="79" t="s">
        <v>112</v>
      </c>
      <c r="G9" s="80" t="s">
        <v>150</v>
      </c>
      <c r="H9" s="80" t="str">
        <f t="shared" si="0"/>
        <v>5Q4L1842</v>
      </c>
      <c r="J9" s="80">
        <f t="shared" ca="1" si="1"/>
        <v>8552</v>
      </c>
    </row>
    <row r="10" spans="1:10" x14ac:dyDescent="0.2">
      <c r="A10" s="79" t="s">
        <v>113</v>
      </c>
      <c r="B10" s="79" t="s">
        <v>114</v>
      </c>
      <c r="C10" s="79" t="s">
        <v>115</v>
      </c>
      <c r="G10" s="80" t="s">
        <v>151</v>
      </c>
      <c r="H10" s="80" t="str">
        <f t="shared" si="0"/>
        <v>6R7Q7937</v>
      </c>
      <c r="J10" s="80">
        <f t="shared" ca="1" si="1"/>
        <v>5434</v>
      </c>
    </row>
    <row r="11" spans="1:10" x14ac:dyDescent="0.2">
      <c r="A11" s="79" t="s">
        <v>116</v>
      </c>
      <c r="B11" s="79" t="s">
        <v>117</v>
      </c>
      <c r="C11" s="79" t="s">
        <v>118</v>
      </c>
      <c r="G11" s="80" t="s">
        <v>152</v>
      </c>
      <c r="H11" s="80" t="str">
        <f t="shared" si="0"/>
        <v>4U5B7333</v>
      </c>
      <c r="J11" s="80">
        <f t="shared" ca="1" si="1"/>
        <v>7956</v>
      </c>
    </row>
    <row r="12" spans="1:10" x14ac:dyDescent="0.2">
      <c r="A12" s="79" t="s">
        <v>119</v>
      </c>
      <c r="B12" s="79" t="s">
        <v>120</v>
      </c>
      <c r="C12" s="79" t="s">
        <v>121</v>
      </c>
      <c r="G12" s="80" t="s">
        <v>153</v>
      </c>
      <c r="H12" s="80" t="str">
        <f t="shared" si="0"/>
        <v>9J9W9571</v>
      </c>
      <c r="J12" s="80">
        <f t="shared" ca="1" si="1"/>
        <v>3686</v>
      </c>
    </row>
    <row r="13" spans="1:10" x14ac:dyDescent="0.2">
      <c r="A13" s="79" t="s">
        <v>122</v>
      </c>
      <c r="B13" s="79" t="s">
        <v>123</v>
      </c>
      <c r="C13" s="79" t="s">
        <v>124</v>
      </c>
      <c r="G13" s="80" t="s">
        <v>154</v>
      </c>
      <c r="H13" s="80" t="str">
        <f t="shared" si="0"/>
        <v>2R4J2033</v>
      </c>
      <c r="J13" s="80">
        <f t="shared" ca="1" si="1"/>
        <v>8389</v>
      </c>
    </row>
    <row r="14" spans="1:10" x14ac:dyDescent="0.2">
      <c r="A14" s="79" t="s">
        <v>125</v>
      </c>
      <c r="B14" s="79" t="s">
        <v>126</v>
      </c>
      <c r="C14" s="79" t="s">
        <v>127</v>
      </c>
      <c r="G14" s="80" t="s">
        <v>155</v>
      </c>
      <c r="H14" s="80" t="str">
        <f t="shared" si="0"/>
        <v>2Q9H4242</v>
      </c>
      <c r="J14" s="80">
        <f t="shared" ca="1" si="1"/>
        <v>5312</v>
      </c>
    </row>
    <row r="15" spans="1:10" x14ac:dyDescent="0.2">
      <c r="A15" s="79" t="s">
        <v>128</v>
      </c>
      <c r="B15" s="79" t="s">
        <v>129</v>
      </c>
      <c r="C15" s="79" t="s">
        <v>130</v>
      </c>
      <c r="G15" s="80" t="s">
        <v>156</v>
      </c>
      <c r="H15" s="80" t="str">
        <f t="shared" si="0"/>
        <v>6U4W4176</v>
      </c>
      <c r="J15" s="80">
        <f t="shared" ca="1" si="1"/>
        <v>6964</v>
      </c>
    </row>
    <row r="16" spans="1:10" x14ac:dyDescent="0.2">
      <c r="A16" s="79" t="s">
        <v>131</v>
      </c>
      <c r="B16" s="79" t="s">
        <v>132</v>
      </c>
      <c r="C16" s="79" t="s">
        <v>133</v>
      </c>
      <c r="G16" s="80" t="s">
        <v>157</v>
      </c>
      <c r="H16" s="80" t="str">
        <f t="shared" si="0"/>
        <v>2S5T4096</v>
      </c>
      <c r="J16" s="80">
        <f t="shared" ca="1" si="1"/>
        <v>9099</v>
      </c>
    </row>
    <row r="17" spans="1:10" x14ac:dyDescent="0.2">
      <c r="A17" s="79" t="s">
        <v>134</v>
      </c>
      <c r="B17" s="79" t="s">
        <v>135</v>
      </c>
      <c r="C17" s="79" t="s">
        <v>136</v>
      </c>
      <c r="G17" s="80" t="s">
        <v>158</v>
      </c>
      <c r="H17" s="80" t="str">
        <f t="shared" si="0"/>
        <v>3R4C1915</v>
      </c>
      <c r="J17" s="80">
        <f t="shared" ca="1" si="1"/>
        <v>3611</v>
      </c>
    </row>
    <row r="18" spans="1:10" x14ac:dyDescent="0.2">
      <c r="A18" s="79" t="s">
        <v>137</v>
      </c>
      <c r="B18" s="79" t="s">
        <v>138</v>
      </c>
      <c r="C18" s="79" t="s">
        <v>139</v>
      </c>
      <c r="G18" s="80" t="s">
        <v>159</v>
      </c>
      <c r="H18" s="80" t="str">
        <f t="shared" si="0"/>
        <v>9N8D8849</v>
      </c>
      <c r="J18" s="80">
        <f t="shared" ca="1" si="1"/>
        <v>7294</v>
      </c>
    </row>
    <row r="19" spans="1:10" x14ac:dyDescent="0.2">
      <c r="A19" s="79" t="s">
        <v>140</v>
      </c>
      <c r="B19" s="79" t="s">
        <v>141</v>
      </c>
      <c r="C19" s="79" t="s">
        <v>142</v>
      </c>
      <c r="G19" s="80" t="s">
        <v>160</v>
      </c>
      <c r="H19" s="80" t="str">
        <f t="shared" si="0"/>
        <v>4Q6O2807</v>
      </c>
      <c r="J19" s="80">
        <f t="shared" ca="1" si="1"/>
        <v>3387</v>
      </c>
    </row>
    <row r="20" spans="1:10" x14ac:dyDescent="0.2">
      <c r="G20" s="80" t="s">
        <v>161</v>
      </c>
      <c r="H20" s="80" t="str">
        <f t="shared" si="0"/>
        <v>3M1J3145</v>
      </c>
      <c r="J20" s="80">
        <f t="shared" ca="1" si="1"/>
        <v>1655</v>
      </c>
    </row>
    <row r="21" spans="1:10" x14ac:dyDescent="0.2">
      <c r="G21" s="80" t="s">
        <v>162</v>
      </c>
      <c r="H21" s="80" t="str">
        <f t="shared" si="0"/>
        <v>1C2J9765</v>
      </c>
      <c r="J21" s="80">
        <f t="shared" ca="1" si="1"/>
        <v>3591</v>
      </c>
    </row>
    <row r="22" spans="1:10" x14ac:dyDescent="0.2">
      <c r="G22" s="80" t="s">
        <v>163</v>
      </c>
      <c r="H22" s="80" t="str">
        <f t="shared" si="0"/>
        <v>3B3T8950</v>
      </c>
      <c r="J22" s="80">
        <f t="shared" ca="1" si="1"/>
        <v>3367</v>
      </c>
    </row>
    <row r="24" spans="1:10" x14ac:dyDescent="0.2">
      <c r="D24" s="79"/>
      <c r="E24" s="79"/>
      <c r="F24" s="79"/>
    </row>
    <row r="25" spans="1:10" x14ac:dyDescent="0.2">
      <c r="D25" s="79"/>
      <c r="E25" s="79"/>
      <c r="F25" s="79"/>
    </row>
    <row r="26" spans="1:10" x14ac:dyDescent="0.2">
      <c r="D26" s="79"/>
      <c r="E26" s="79"/>
      <c r="F26" s="79"/>
    </row>
    <row r="27" spans="1:10" x14ac:dyDescent="0.2">
      <c r="D27" s="79"/>
      <c r="E27" s="79"/>
      <c r="F27" s="79"/>
    </row>
    <row r="28" spans="1:10" x14ac:dyDescent="0.2">
      <c r="D28" s="79"/>
      <c r="E28" s="79"/>
      <c r="F28" s="79"/>
    </row>
    <row r="29" spans="1:10" x14ac:dyDescent="0.2">
      <c r="D29" s="79"/>
      <c r="E29" s="79"/>
      <c r="F29" s="79"/>
    </row>
    <row r="30" spans="1:10" x14ac:dyDescent="0.2">
      <c r="D30" s="79"/>
      <c r="E30" s="79"/>
      <c r="F30" s="79"/>
    </row>
    <row r="31" spans="1:10" x14ac:dyDescent="0.2">
      <c r="D31" s="79"/>
      <c r="E31" s="79"/>
      <c r="F31" s="79"/>
    </row>
    <row r="32" spans="1:10" x14ac:dyDescent="0.2">
      <c r="D32" s="79"/>
      <c r="E32" s="79"/>
      <c r="F32" s="79"/>
    </row>
    <row r="33" spans="4:6" x14ac:dyDescent="0.2">
      <c r="D33" s="79"/>
      <c r="E33" s="79"/>
      <c r="F33" s="79"/>
    </row>
    <row r="34" spans="4:6" x14ac:dyDescent="0.2">
      <c r="D34" s="79"/>
      <c r="E34" s="79"/>
      <c r="F34" s="79"/>
    </row>
    <row r="35" spans="4:6" x14ac:dyDescent="0.2">
      <c r="D35" s="79"/>
      <c r="E35" s="79"/>
      <c r="F35" s="79"/>
    </row>
    <row r="36" spans="4:6" x14ac:dyDescent="0.2">
      <c r="D36" s="79"/>
      <c r="E36" s="79"/>
      <c r="F36" s="79"/>
    </row>
    <row r="37" spans="4:6" x14ac:dyDescent="0.2">
      <c r="D37" s="79"/>
      <c r="E37" s="79"/>
      <c r="F37" s="79"/>
    </row>
    <row r="38" spans="4:6" x14ac:dyDescent="0.2">
      <c r="D38" s="79"/>
      <c r="E38" s="79"/>
      <c r="F38" s="79"/>
    </row>
    <row r="39" spans="4:6" x14ac:dyDescent="0.2">
      <c r="D39" s="79"/>
      <c r="E39" s="79"/>
      <c r="F39" s="79"/>
    </row>
    <row r="40" spans="4:6" x14ac:dyDescent="0.2">
      <c r="D40" s="79"/>
      <c r="E40" s="79"/>
      <c r="F40" s="79"/>
    </row>
    <row r="41" spans="4:6" x14ac:dyDescent="0.2">
      <c r="D41" s="79"/>
      <c r="E41" s="79"/>
      <c r="F41" s="79"/>
    </row>
    <row r="42" spans="4:6" x14ac:dyDescent="0.2">
      <c r="D42" s="79"/>
      <c r="E42" s="79"/>
      <c r="F42" s="79"/>
    </row>
  </sheetData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销售表</vt:lpstr>
      <vt:lpstr>销售图</vt:lpstr>
      <vt:lpstr>副表</vt:lpstr>
      <vt:lpstr>去除公式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www.zesow.com-刘伟</cp:lastModifiedBy>
  <dcterms:created xsi:type="dcterms:W3CDTF">2014-07-19T06:15:20Z</dcterms:created>
  <dcterms:modified xsi:type="dcterms:W3CDTF">2014-10-25T02:39:34Z</dcterms:modified>
</cp:coreProperties>
</file>