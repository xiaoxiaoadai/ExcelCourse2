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85" yWindow="75" windowWidth="9540" windowHeight="7155" tabRatio="743"/>
  </bookViews>
  <sheets>
    <sheet name="销售表" sheetId="5" r:id="rId1"/>
    <sheet name="Sheet1" sheetId="15" r:id="rId2"/>
    <sheet name="Sheet2" sheetId="16" r:id="rId3"/>
    <sheet name="Sheet3" sheetId="17" r:id="rId4"/>
  </sheets>
  <calcPr calcId="145621"/>
</workbook>
</file>

<file path=xl/calcChain.xml><?xml version="1.0" encoding="utf-8"?>
<calcChain xmlns="http://schemas.openxmlformats.org/spreadsheetml/2006/main"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<sst xmlns="http://schemas.openxmlformats.org/spreadsheetml/2006/main" count="46" uniqueCount="45">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</sst>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  <numFmt numFmtId="193" formatCode="#,##0_);[Red]\(#,##0\)"/>
  </numFmts>
  <fonts count="13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Times New Roman"/>
      <family val="1"/>
    </font>
    <font>
      <b/>
      <sz val="14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1" fillId="0" borderId="0"/>
  </cellStyleXfs>
  <cellXfs count="46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2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  <xf numFmtId="193" fontId="2" fillId="0" borderId="2" xfId="5" applyNumberFormat="1" applyFont="1" applyFill="1" applyBorder="1" applyAlignment="1"/>
    <xf numFmtId="193" fontId="2" fillId="0" borderId="6" xfId="5" applyNumberFormat="1" applyFont="1" applyFill="1" applyBorder="1" applyAlignme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30" zoomScaleNormal="130" workbookViewId="0">
      <selection activeCell="D17" sqref="D17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25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44">
        <v>340491000</v>
      </c>
      <c r="C5" s="44">
        <v>259697000</v>
      </c>
      <c r="D5" s="44">
        <v>384833000</v>
      </c>
      <c r="E5" s="27">
        <f t="shared" ref="E5:E32" si="0">SUM(B5:D5)</f>
        <v>985021000</v>
      </c>
      <c r="F5" s="26">
        <v>798300000</v>
      </c>
      <c r="G5" s="26">
        <v>974237000</v>
      </c>
      <c r="H5" s="26">
        <v>83470000</v>
      </c>
      <c r="I5" s="27">
        <f>SUM(F5:H5)</f>
        <v>1856007000</v>
      </c>
      <c r="J5" s="26">
        <v>90151000</v>
      </c>
      <c r="K5" s="26">
        <v>94868000</v>
      </c>
      <c r="L5" s="26">
        <v>955420000</v>
      </c>
      <c r="M5" s="27">
        <f t="shared" ref="M5:M32" si="1">SUM(J5:L5)</f>
        <v>1140439000</v>
      </c>
      <c r="N5" s="26">
        <v>817056000</v>
      </c>
      <c r="O5" s="26">
        <v>82067000</v>
      </c>
      <c r="P5" s="26">
        <v>216727000</v>
      </c>
      <c r="Q5" s="27">
        <f t="shared" ref="Q5:Q32" si="2">SUM(N5:P5)</f>
        <v>1115850000</v>
      </c>
      <c r="R5" s="28">
        <f>SUM(Q5,M5,I5,E5)</f>
        <v>5097317000</v>
      </c>
    </row>
    <row r="6" spans="1:18" x14ac:dyDescent="0.2">
      <c r="A6" s="7" t="s">
        <v>3</v>
      </c>
      <c r="B6" s="44">
        <v>937033000</v>
      </c>
      <c r="C6" s="44">
        <v>771692000</v>
      </c>
      <c r="D6" s="44">
        <v>866755000</v>
      </c>
      <c r="E6" s="29">
        <f t="shared" si="0"/>
        <v>2575480000</v>
      </c>
      <c r="F6" s="26">
        <v>620418000</v>
      </c>
      <c r="G6" s="26">
        <v>496938000</v>
      </c>
      <c r="H6" s="26">
        <v>40267000</v>
      </c>
      <c r="I6" s="30">
        <f t="shared" ref="I6:I32" si="3">SUM(F6:H6)</f>
        <v>1157623000</v>
      </c>
      <c r="J6" s="26">
        <v>645726000</v>
      </c>
      <c r="K6" s="26">
        <v>169666000</v>
      </c>
      <c r="L6" s="26">
        <v>716347000</v>
      </c>
      <c r="M6" s="30">
        <f t="shared" si="1"/>
        <v>1531739000</v>
      </c>
      <c r="N6" s="26">
        <v>173387000</v>
      </c>
      <c r="O6" s="26">
        <v>319287000</v>
      </c>
      <c r="P6" s="26">
        <v>395591000</v>
      </c>
      <c r="Q6" s="30">
        <f t="shared" si="2"/>
        <v>888265000</v>
      </c>
      <c r="R6" s="31">
        <f>SUM(Q6,M6,I6,E6)</f>
        <v>6153107000</v>
      </c>
    </row>
    <row r="7" spans="1:18" ht="13.5" thickBot="1" x14ac:dyDescent="0.25">
      <c r="A7" s="7" t="s">
        <v>25</v>
      </c>
      <c r="B7" s="45">
        <f t="shared" ref="B7:P7" si="4">SUM(B5:B6)</f>
        <v>1277524000</v>
      </c>
      <c r="C7" s="45">
        <f t="shared" si="4"/>
        <v>1031389000</v>
      </c>
      <c r="D7" s="45">
        <f t="shared" si="4"/>
        <v>1251588000</v>
      </c>
      <c r="E7" s="33">
        <f>SUM(E5:E6)</f>
        <v>3560501000</v>
      </c>
      <c r="F7" s="32">
        <f t="shared" si="4"/>
        <v>1418718000</v>
      </c>
      <c r="G7" s="32">
        <f t="shared" si="4"/>
        <v>1471175000</v>
      </c>
      <c r="H7" s="32">
        <f t="shared" si="4"/>
        <v>123737000</v>
      </c>
      <c r="I7" s="34">
        <f>SUM(I5:I6)</f>
        <v>3013630000</v>
      </c>
      <c r="J7" s="32">
        <f t="shared" si="4"/>
        <v>735877000</v>
      </c>
      <c r="K7" s="32">
        <f t="shared" si="4"/>
        <v>264534000</v>
      </c>
      <c r="L7" s="32">
        <f t="shared" si="4"/>
        <v>1671767000</v>
      </c>
      <c r="M7" s="34">
        <f>SUM(M5:M6)</f>
        <v>2672178000</v>
      </c>
      <c r="N7" s="32">
        <f t="shared" si="4"/>
        <v>990443000</v>
      </c>
      <c r="O7" s="32">
        <f t="shared" si="4"/>
        <v>401354000</v>
      </c>
      <c r="P7" s="32">
        <f t="shared" si="4"/>
        <v>612318000</v>
      </c>
      <c r="Q7" s="34">
        <f>SUM(Q5:Q6)</f>
        <v>2004115000</v>
      </c>
      <c r="R7" s="35">
        <f>SUM(R5:R6)</f>
        <v>11250424000</v>
      </c>
    </row>
    <row r="8" spans="1:18" x14ac:dyDescent="0.2">
      <c r="A8" s="8"/>
      <c r="B8" s="42"/>
      <c r="C8" s="42"/>
      <c r="D8" s="42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7"/>
    </row>
    <row r="9" spans="1:18" x14ac:dyDescent="0.2">
      <c r="A9" s="6" t="s">
        <v>0</v>
      </c>
      <c r="B9" s="40"/>
      <c r="C9" s="40"/>
      <c r="D9" s="4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38"/>
    </row>
    <row r="10" spans="1:18" x14ac:dyDescent="0.2">
      <c r="A10" s="7" t="s">
        <v>4</v>
      </c>
      <c r="B10" s="40">
        <v>340491000</v>
      </c>
      <c r="C10" s="40">
        <v>259697000</v>
      </c>
      <c r="D10" s="40">
        <v>384833000</v>
      </c>
      <c r="E10" s="27">
        <f t="shared" si="0"/>
        <v>985021000</v>
      </c>
      <c r="F10" s="26">
        <v>798300000</v>
      </c>
      <c r="G10" s="26">
        <v>974237000</v>
      </c>
      <c r="H10" s="26">
        <v>83470000</v>
      </c>
      <c r="I10" s="26">
        <f t="shared" si="3"/>
        <v>1856007000</v>
      </c>
      <c r="J10" s="26">
        <v>90151000</v>
      </c>
      <c r="K10" s="26">
        <v>94868000</v>
      </c>
      <c r="L10" s="26">
        <v>955420000</v>
      </c>
      <c r="M10" s="27">
        <f t="shared" si="1"/>
        <v>1140439000</v>
      </c>
      <c r="N10" s="26">
        <v>817056000</v>
      </c>
      <c r="O10" s="26">
        <v>82067000</v>
      </c>
      <c r="P10" s="26">
        <v>216727000</v>
      </c>
      <c r="Q10" s="26">
        <f t="shared" si="2"/>
        <v>1115850000</v>
      </c>
      <c r="R10" s="28">
        <f t="shared" ref="R10:R13" si="5">SUM(Q10,M10,I10,E10)</f>
        <v>5097317000</v>
      </c>
    </row>
    <row r="11" spans="1:18" x14ac:dyDescent="0.2">
      <c r="A11" s="7" t="s">
        <v>5</v>
      </c>
      <c r="B11" s="40">
        <v>937033000</v>
      </c>
      <c r="C11" s="40">
        <v>771692000</v>
      </c>
      <c r="D11" s="40">
        <v>866755000</v>
      </c>
      <c r="E11" s="27">
        <f t="shared" si="0"/>
        <v>2575480000</v>
      </c>
      <c r="F11" s="26">
        <v>620418000</v>
      </c>
      <c r="G11" s="26">
        <v>496938000</v>
      </c>
      <c r="H11" s="26">
        <v>40267000</v>
      </c>
      <c r="I11" s="39">
        <f t="shared" si="3"/>
        <v>1157623000</v>
      </c>
      <c r="J11" s="26">
        <v>645726000</v>
      </c>
      <c r="K11" s="26">
        <v>169666000</v>
      </c>
      <c r="L11" s="26">
        <v>716347000</v>
      </c>
      <c r="M11" s="39">
        <f t="shared" si="1"/>
        <v>1531739000</v>
      </c>
      <c r="N11" s="26">
        <v>173387000</v>
      </c>
      <c r="O11" s="26">
        <v>319287000</v>
      </c>
      <c r="P11" s="26">
        <v>395591000</v>
      </c>
      <c r="Q11" s="39">
        <f t="shared" si="2"/>
        <v>888265000</v>
      </c>
      <c r="R11" s="28">
        <f t="shared" si="5"/>
        <v>6153107000</v>
      </c>
    </row>
    <row r="12" spans="1:18" x14ac:dyDescent="0.2">
      <c r="A12" s="7" t="s">
        <v>6</v>
      </c>
      <c r="B12" s="40">
        <v>340491000</v>
      </c>
      <c r="C12" s="40">
        <v>259697000</v>
      </c>
      <c r="D12" s="40">
        <v>384833000</v>
      </c>
      <c r="E12" s="27">
        <f t="shared" si="0"/>
        <v>985021000</v>
      </c>
      <c r="F12" s="26">
        <v>798300000</v>
      </c>
      <c r="G12" s="26">
        <v>974237000</v>
      </c>
      <c r="H12" s="26">
        <v>83470000</v>
      </c>
      <c r="I12" s="39">
        <f t="shared" si="3"/>
        <v>1856007000</v>
      </c>
      <c r="J12" s="26">
        <v>90151000</v>
      </c>
      <c r="K12" s="26">
        <v>94868000</v>
      </c>
      <c r="L12" s="26">
        <v>955420000</v>
      </c>
      <c r="M12" s="39">
        <f t="shared" si="1"/>
        <v>1140439000</v>
      </c>
      <c r="N12" s="26">
        <v>817056000</v>
      </c>
      <c r="O12" s="26">
        <v>82067000</v>
      </c>
      <c r="P12" s="26">
        <v>216727000</v>
      </c>
      <c r="Q12" s="39">
        <f t="shared" si="2"/>
        <v>1115850000</v>
      </c>
      <c r="R12" s="28">
        <f t="shared" si="5"/>
        <v>5097317000</v>
      </c>
    </row>
    <row r="13" spans="1:18" x14ac:dyDescent="0.2">
      <c r="A13" s="7" t="s">
        <v>7</v>
      </c>
      <c r="B13" s="40">
        <v>937033000</v>
      </c>
      <c r="C13" s="40">
        <v>771692000</v>
      </c>
      <c r="D13" s="40">
        <v>866755000</v>
      </c>
      <c r="E13" s="29">
        <f t="shared" si="0"/>
        <v>2575480000</v>
      </c>
      <c r="F13" s="26">
        <v>620418000</v>
      </c>
      <c r="G13" s="26">
        <v>496938000</v>
      </c>
      <c r="H13" s="26">
        <v>40267000</v>
      </c>
      <c r="I13" s="30">
        <f t="shared" si="3"/>
        <v>1157623000</v>
      </c>
      <c r="J13" s="26">
        <v>645726000</v>
      </c>
      <c r="K13" s="26">
        <v>169666000</v>
      </c>
      <c r="L13" s="26">
        <v>716347000</v>
      </c>
      <c r="M13" s="30">
        <f t="shared" si="1"/>
        <v>1531739000</v>
      </c>
      <c r="N13" s="26">
        <v>173387000</v>
      </c>
      <c r="O13" s="26">
        <v>319287000</v>
      </c>
      <c r="P13" s="26">
        <v>395591000</v>
      </c>
      <c r="Q13" s="30">
        <f t="shared" si="2"/>
        <v>888265000</v>
      </c>
      <c r="R13" s="31">
        <f t="shared" si="5"/>
        <v>6153107000</v>
      </c>
    </row>
    <row r="14" spans="1:18" ht="13.5" thickBot="1" x14ac:dyDescent="0.25">
      <c r="A14" s="7" t="s">
        <v>26</v>
      </c>
      <c r="B14" s="41">
        <f t="shared" ref="B14:P14" si="6">SUM(B10:B13)</f>
        <v>2555048000</v>
      </c>
      <c r="C14" s="41">
        <f t="shared" si="6"/>
        <v>2062778000</v>
      </c>
      <c r="D14" s="41">
        <f t="shared" si="6"/>
        <v>2503176000</v>
      </c>
      <c r="E14" s="32">
        <f>SUM(E10:E13)</f>
        <v>7121002000</v>
      </c>
      <c r="F14" s="32">
        <f t="shared" si="6"/>
        <v>2837436000</v>
      </c>
      <c r="G14" s="32">
        <f t="shared" si="6"/>
        <v>2942350000</v>
      </c>
      <c r="H14" s="32">
        <f t="shared" si="6"/>
        <v>247474000</v>
      </c>
      <c r="I14" s="32">
        <f>SUM(I10:I13)</f>
        <v>6027260000</v>
      </c>
      <c r="J14" s="32">
        <f t="shared" si="6"/>
        <v>1471754000</v>
      </c>
      <c r="K14" s="32">
        <f t="shared" si="6"/>
        <v>529068000</v>
      </c>
      <c r="L14" s="32">
        <f t="shared" si="6"/>
        <v>3343534000</v>
      </c>
      <c r="M14" s="32">
        <f>SUM(M10:M13)</f>
        <v>5344356000</v>
      </c>
      <c r="N14" s="32">
        <f t="shared" si="6"/>
        <v>1980886000</v>
      </c>
      <c r="O14" s="32">
        <f t="shared" si="6"/>
        <v>802708000</v>
      </c>
      <c r="P14" s="32">
        <f t="shared" si="6"/>
        <v>1224636000</v>
      </c>
      <c r="Q14" s="33">
        <f>SUM(Q10:Q13)</f>
        <v>4008230000</v>
      </c>
      <c r="R14" s="35">
        <f>SUM(R10:R13)</f>
        <v>22500848000</v>
      </c>
    </row>
    <row r="15" spans="1:18" x14ac:dyDescent="0.2">
      <c r="A15" s="9"/>
      <c r="B15" s="42"/>
      <c r="C15" s="42"/>
      <c r="D15" s="42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7"/>
    </row>
    <row r="16" spans="1:18" x14ac:dyDescent="0.2">
      <c r="A16" s="6" t="s">
        <v>8</v>
      </c>
      <c r="B16" s="40"/>
      <c r="C16" s="40"/>
      <c r="D16" s="40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38"/>
    </row>
    <row r="17" spans="1:18" x14ac:dyDescent="0.2">
      <c r="A17" s="10" t="s">
        <v>9</v>
      </c>
      <c r="B17" s="40">
        <v>340491000</v>
      </c>
      <c r="C17" s="40">
        <v>259697000</v>
      </c>
      <c r="D17" s="40">
        <v>384833000</v>
      </c>
      <c r="E17" s="27">
        <f t="shared" si="0"/>
        <v>985021000</v>
      </c>
      <c r="F17" s="26">
        <v>798300000</v>
      </c>
      <c r="G17" s="26">
        <v>974237000</v>
      </c>
      <c r="H17" s="26">
        <v>83470000</v>
      </c>
      <c r="I17" s="27">
        <f t="shared" si="3"/>
        <v>1856007000</v>
      </c>
      <c r="J17" s="26">
        <v>90151000</v>
      </c>
      <c r="K17" s="26">
        <v>94868000</v>
      </c>
      <c r="L17" s="26">
        <v>955420000</v>
      </c>
      <c r="M17" s="27">
        <f t="shared" si="1"/>
        <v>1140439000</v>
      </c>
      <c r="N17" s="26">
        <v>817056000</v>
      </c>
      <c r="O17" s="26">
        <v>82067000</v>
      </c>
      <c r="P17" s="26">
        <v>216727000</v>
      </c>
      <c r="Q17" s="27">
        <f t="shared" si="2"/>
        <v>1115850000</v>
      </c>
      <c r="R17" s="28">
        <f t="shared" ref="R17:R32" si="7">SUM(Q17,M17,I17,E17)</f>
        <v>5097317000</v>
      </c>
    </row>
    <row r="18" spans="1:18" x14ac:dyDescent="0.2">
      <c r="A18" s="10" t="s">
        <v>10</v>
      </c>
      <c r="B18" s="40">
        <v>937033000</v>
      </c>
      <c r="C18" s="40">
        <v>771692000</v>
      </c>
      <c r="D18" s="40">
        <v>866755000</v>
      </c>
      <c r="E18" s="27">
        <f t="shared" si="0"/>
        <v>2575480000</v>
      </c>
      <c r="F18" s="26">
        <v>620418000</v>
      </c>
      <c r="G18" s="26">
        <v>496938000</v>
      </c>
      <c r="H18" s="26">
        <v>40267000</v>
      </c>
      <c r="I18" s="39">
        <f t="shared" si="3"/>
        <v>1157623000</v>
      </c>
      <c r="J18" s="26">
        <v>645726000</v>
      </c>
      <c r="K18" s="26">
        <v>169666000</v>
      </c>
      <c r="L18" s="26">
        <v>716347000</v>
      </c>
      <c r="M18" s="39">
        <f t="shared" si="1"/>
        <v>1531739000</v>
      </c>
      <c r="N18" s="26">
        <v>173387000</v>
      </c>
      <c r="O18" s="26">
        <v>319287000</v>
      </c>
      <c r="P18" s="26">
        <v>395591000</v>
      </c>
      <c r="Q18" s="39">
        <f t="shared" si="2"/>
        <v>888265000</v>
      </c>
      <c r="R18" s="28">
        <f t="shared" si="7"/>
        <v>6153107000</v>
      </c>
    </row>
    <row r="19" spans="1:18" x14ac:dyDescent="0.2">
      <c r="A19" s="10" t="s">
        <v>11</v>
      </c>
      <c r="B19" s="40">
        <v>340491000</v>
      </c>
      <c r="C19" s="40">
        <v>259697000</v>
      </c>
      <c r="D19" s="40">
        <v>384833000</v>
      </c>
      <c r="E19" s="27">
        <f t="shared" si="0"/>
        <v>985021000</v>
      </c>
      <c r="F19" s="26">
        <v>798300000</v>
      </c>
      <c r="G19" s="26">
        <v>974237000</v>
      </c>
      <c r="H19" s="26">
        <v>83470000</v>
      </c>
      <c r="I19" s="39">
        <f t="shared" si="3"/>
        <v>1856007000</v>
      </c>
      <c r="J19" s="26">
        <v>90151000</v>
      </c>
      <c r="K19" s="26">
        <v>94868000</v>
      </c>
      <c r="L19" s="26">
        <v>955420000</v>
      </c>
      <c r="M19" s="39">
        <f t="shared" si="1"/>
        <v>1140439000</v>
      </c>
      <c r="N19" s="26">
        <v>817056000</v>
      </c>
      <c r="O19" s="26">
        <v>82067000</v>
      </c>
      <c r="P19" s="26">
        <v>216727000</v>
      </c>
      <c r="Q19" s="39">
        <f t="shared" si="2"/>
        <v>1115850000</v>
      </c>
      <c r="R19" s="28">
        <f t="shared" si="7"/>
        <v>5097317000</v>
      </c>
    </row>
    <row r="20" spans="1:18" x14ac:dyDescent="0.2">
      <c r="A20" s="10" t="s">
        <v>12</v>
      </c>
      <c r="B20" s="40">
        <v>937033000</v>
      </c>
      <c r="C20" s="40">
        <v>771692000</v>
      </c>
      <c r="D20" s="40">
        <v>866755000</v>
      </c>
      <c r="E20" s="27">
        <f t="shared" si="0"/>
        <v>2575480000</v>
      </c>
      <c r="F20" s="26">
        <v>620418000</v>
      </c>
      <c r="G20" s="26">
        <v>496938000</v>
      </c>
      <c r="H20" s="26">
        <v>40267000</v>
      </c>
      <c r="I20" s="39">
        <f t="shared" si="3"/>
        <v>1157623000</v>
      </c>
      <c r="J20" s="26">
        <v>645726000</v>
      </c>
      <c r="K20" s="26">
        <v>169666000</v>
      </c>
      <c r="L20" s="26">
        <v>716347000</v>
      </c>
      <c r="M20" s="39">
        <f t="shared" si="1"/>
        <v>1531739000</v>
      </c>
      <c r="N20" s="26">
        <v>173387000</v>
      </c>
      <c r="O20" s="26">
        <v>319287000</v>
      </c>
      <c r="P20" s="26">
        <v>395591000</v>
      </c>
      <c r="Q20" s="39">
        <f t="shared" si="2"/>
        <v>888265000</v>
      </c>
      <c r="R20" s="28">
        <f t="shared" si="7"/>
        <v>6153107000</v>
      </c>
    </row>
    <row r="21" spans="1:18" x14ac:dyDescent="0.2">
      <c r="A21" s="10" t="s">
        <v>13</v>
      </c>
      <c r="B21" s="40">
        <v>340491000</v>
      </c>
      <c r="C21" s="40">
        <v>259697000</v>
      </c>
      <c r="D21" s="40">
        <v>384833000</v>
      </c>
      <c r="E21" s="27">
        <f t="shared" si="0"/>
        <v>985021000</v>
      </c>
      <c r="F21" s="26">
        <v>798300000</v>
      </c>
      <c r="G21" s="26">
        <v>974237000</v>
      </c>
      <c r="H21" s="26">
        <v>83470000</v>
      </c>
      <c r="I21" s="39">
        <f t="shared" si="3"/>
        <v>1856007000</v>
      </c>
      <c r="J21" s="26">
        <v>90151000</v>
      </c>
      <c r="K21" s="26">
        <v>94868000</v>
      </c>
      <c r="L21" s="26">
        <v>955420000</v>
      </c>
      <c r="M21" s="39">
        <f t="shared" si="1"/>
        <v>1140439000</v>
      </c>
      <c r="N21" s="26">
        <v>817056000</v>
      </c>
      <c r="O21" s="26">
        <v>82067000</v>
      </c>
      <c r="P21" s="26">
        <v>216727000</v>
      </c>
      <c r="Q21" s="39">
        <f t="shared" si="2"/>
        <v>1115850000</v>
      </c>
      <c r="R21" s="28">
        <f t="shared" si="7"/>
        <v>5097317000</v>
      </c>
    </row>
    <row r="22" spans="1:18" x14ac:dyDescent="0.2">
      <c r="A22" s="10" t="s">
        <v>14</v>
      </c>
      <c r="B22" s="40">
        <v>937033000</v>
      </c>
      <c r="C22" s="40">
        <v>771692000</v>
      </c>
      <c r="D22" s="40">
        <v>866755000</v>
      </c>
      <c r="E22" s="27">
        <f t="shared" si="0"/>
        <v>2575480000</v>
      </c>
      <c r="F22" s="26">
        <v>620418000</v>
      </c>
      <c r="G22" s="26">
        <v>496938000</v>
      </c>
      <c r="H22" s="26">
        <v>40267000</v>
      </c>
      <c r="I22" s="39">
        <f t="shared" si="3"/>
        <v>1157623000</v>
      </c>
      <c r="J22" s="26">
        <v>645726000</v>
      </c>
      <c r="K22" s="26">
        <v>169666000</v>
      </c>
      <c r="L22" s="26">
        <v>716347000</v>
      </c>
      <c r="M22" s="39">
        <f t="shared" si="1"/>
        <v>1531739000</v>
      </c>
      <c r="N22" s="26">
        <v>173387000</v>
      </c>
      <c r="O22" s="26">
        <v>319287000</v>
      </c>
      <c r="P22" s="26">
        <v>395591000</v>
      </c>
      <c r="Q22" s="39">
        <f t="shared" si="2"/>
        <v>888265000</v>
      </c>
      <c r="R22" s="28">
        <f t="shared" si="7"/>
        <v>6153107000</v>
      </c>
    </row>
    <row r="23" spans="1:18" x14ac:dyDescent="0.2">
      <c r="A23" s="10" t="s">
        <v>15</v>
      </c>
      <c r="B23" s="40">
        <v>340491000</v>
      </c>
      <c r="C23" s="40">
        <v>259697000</v>
      </c>
      <c r="D23" s="40">
        <v>384833000</v>
      </c>
      <c r="E23" s="27">
        <f t="shared" si="0"/>
        <v>985021000</v>
      </c>
      <c r="F23" s="26">
        <v>798300000</v>
      </c>
      <c r="G23" s="26">
        <v>974237000</v>
      </c>
      <c r="H23" s="26">
        <v>83470000</v>
      </c>
      <c r="I23" s="39">
        <f t="shared" si="3"/>
        <v>1856007000</v>
      </c>
      <c r="J23" s="26">
        <v>90151000</v>
      </c>
      <c r="K23" s="26">
        <v>94868000</v>
      </c>
      <c r="L23" s="26">
        <v>955420000</v>
      </c>
      <c r="M23" s="39">
        <f t="shared" si="1"/>
        <v>1140439000</v>
      </c>
      <c r="N23" s="26">
        <v>817056000</v>
      </c>
      <c r="O23" s="26">
        <v>82067000</v>
      </c>
      <c r="P23" s="26">
        <v>216727000</v>
      </c>
      <c r="Q23" s="39">
        <f t="shared" si="2"/>
        <v>1115850000</v>
      </c>
      <c r="R23" s="28">
        <f t="shared" si="7"/>
        <v>5097317000</v>
      </c>
    </row>
    <row r="24" spans="1:18" x14ac:dyDescent="0.2">
      <c r="A24" s="10" t="s">
        <v>16</v>
      </c>
      <c r="B24" s="40">
        <v>937033000</v>
      </c>
      <c r="C24" s="40">
        <v>771692000</v>
      </c>
      <c r="D24" s="40">
        <v>866755000</v>
      </c>
      <c r="E24" s="27">
        <f t="shared" si="0"/>
        <v>2575480000</v>
      </c>
      <c r="F24" s="26">
        <v>620418000</v>
      </c>
      <c r="G24" s="26">
        <v>496938000</v>
      </c>
      <c r="H24" s="26">
        <v>40267000</v>
      </c>
      <c r="I24" s="39">
        <f t="shared" si="3"/>
        <v>1157623000</v>
      </c>
      <c r="J24" s="26">
        <v>645726000</v>
      </c>
      <c r="K24" s="26">
        <v>169666000</v>
      </c>
      <c r="L24" s="26">
        <v>716347000</v>
      </c>
      <c r="M24" s="39">
        <f t="shared" si="1"/>
        <v>1531739000</v>
      </c>
      <c r="N24" s="26">
        <v>173387000</v>
      </c>
      <c r="O24" s="26">
        <v>319287000</v>
      </c>
      <c r="P24" s="26">
        <v>395591000</v>
      </c>
      <c r="Q24" s="39">
        <f t="shared" si="2"/>
        <v>888265000</v>
      </c>
      <c r="R24" s="28">
        <f t="shared" si="7"/>
        <v>6153107000</v>
      </c>
    </row>
    <row r="25" spans="1:18" x14ac:dyDescent="0.2">
      <c r="A25" s="10" t="s">
        <v>17</v>
      </c>
      <c r="B25" s="40">
        <v>340491000</v>
      </c>
      <c r="C25" s="40">
        <v>259697000</v>
      </c>
      <c r="D25" s="40">
        <v>384833000</v>
      </c>
      <c r="E25" s="27">
        <f t="shared" si="0"/>
        <v>985021000</v>
      </c>
      <c r="F25" s="26">
        <v>798300000</v>
      </c>
      <c r="G25" s="26">
        <v>974237000</v>
      </c>
      <c r="H25" s="26">
        <v>83470000</v>
      </c>
      <c r="I25" s="39">
        <f t="shared" si="3"/>
        <v>1856007000</v>
      </c>
      <c r="J25" s="26">
        <v>90151000</v>
      </c>
      <c r="K25" s="26">
        <v>94868000</v>
      </c>
      <c r="L25" s="26">
        <v>955420000</v>
      </c>
      <c r="M25" s="39">
        <f t="shared" si="1"/>
        <v>1140439000</v>
      </c>
      <c r="N25" s="26">
        <v>817056000</v>
      </c>
      <c r="O25" s="26">
        <v>82067000</v>
      </c>
      <c r="P25" s="26">
        <v>216727000</v>
      </c>
      <c r="Q25" s="39">
        <f t="shared" si="2"/>
        <v>1115850000</v>
      </c>
      <c r="R25" s="28">
        <f t="shared" si="7"/>
        <v>5097317000</v>
      </c>
    </row>
    <row r="26" spans="1:18" x14ac:dyDescent="0.2">
      <c r="A26" s="10" t="s">
        <v>18</v>
      </c>
      <c r="B26" s="40">
        <v>937033000</v>
      </c>
      <c r="C26" s="40">
        <v>771692000</v>
      </c>
      <c r="D26" s="40">
        <v>866755000</v>
      </c>
      <c r="E26" s="27">
        <f t="shared" si="0"/>
        <v>2575480000</v>
      </c>
      <c r="F26" s="26">
        <v>620418000</v>
      </c>
      <c r="G26" s="26">
        <v>496938000</v>
      </c>
      <c r="H26" s="26">
        <v>40267000</v>
      </c>
      <c r="I26" s="39">
        <f t="shared" si="3"/>
        <v>1157623000</v>
      </c>
      <c r="J26" s="26">
        <v>645726000</v>
      </c>
      <c r="K26" s="26">
        <v>169666000</v>
      </c>
      <c r="L26" s="26">
        <v>716347000</v>
      </c>
      <c r="M26" s="39">
        <f t="shared" si="1"/>
        <v>1531739000</v>
      </c>
      <c r="N26" s="26">
        <v>173387000</v>
      </c>
      <c r="O26" s="26">
        <v>319287000</v>
      </c>
      <c r="P26" s="26">
        <v>395591000</v>
      </c>
      <c r="Q26" s="39">
        <f t="shared" si="2"/>
        <v>888265000</v>
      </c>
      <c r="R26" s="28">
        <f t="shared" si="7"/>
        <v>6153107000</v>
      </c>
    </row>
    <row r="27" spans="1:18" x14ac:dyDescent="0.2">
      <c r="A27" s="10" t="s">
        <v>19</v>
      </c>
      <c r="B27" s="40">
        <v>340491000</v>
      </c>
      <c r="C27" s="40">
        <v>259697000</v>
      </c>
      <c r="D27" s="40">
        <v>384833000</v>
      </c>
      <c r="E27" s="27">
        <f t="shared" si="0"/>
        <v>985021000</v>
      </c>
      <c r="F27" s="26">
        <v>798300000</v>
      </c>
      <c r="G27" s="26">
        <v>974237000</v>
      </c>
      <c r="H27" s="26">
        <v>83470000</v>
      </c>
      <c r="I27" s="39">
        <f t="shared" si="3"/>
        <v>1856007000</v>
      </c>
      <c r="J27" s="26">
        <v>90151000</v>
      </c>
      <c r="K27" s="26">
        <v>94868000</v>
      </c>
      <c r="L27" s="26">
        <v>955420000</v>
      </c>
      <c r="M27" s="39">
        <f t="shared" si="1"/>
        <v>1140439000</v>
      </c>
      <c r="N27" s="26">
        <v>817056000</v>
      </c>
      <c r="O27" s="26">
        <v>82067000</v>
      </c>
      <c r="P27" s="26">
        <v>216727000</v>
      </c>
      <c r="Q27" s="39">
        <f t="shared" si="2"/>
        <v>1115850000</v>
      </c>
      <c r="R27" s="28">
        <f t="shared" si="7"/>
        <v>5097317000</v>
      </c>
    </row>
    <row r="28" spans="1:18" x14ac:dyDescent="0.2">
      <c r="A28" s="10" t="s">
        <v>20</v>
      </c>
      <c r="B28" s="40">
        <v>937033000</v>
      </c>
      <c r="C28" s="40">
        <v>771692000</v>
      </c>
      <c r="D28" s="40">
        <v>866755000</v>
      </c>
      <c r="E28" s="27">
        <f t="shared" si="0"/>
        <v>2575480000</v>
      </c>
      <c r="F28" s="26">
        <v>620418000</v>
      </c>
      <c r="G28" s="26">
        <v>496938000</v>
      </c>
      <c r="H28" s="26">
        <v>40267000</v>
      </c>
      <c r="I28" s="39">
        <f t="shared" si="3"/>
        <v>1157623000</v>
      </c>
      <c r="J28" s="26">
        <v>645726000</v>
      </c>
      <c r="K28" s="26">
        <v>169666000</v>
      </c>
      <c r="L28" s="26">
        <v>716347000</v>
      </c>
      <c r="M28" s="39">
        <f t="shared" si="1"/>
        <v>1531739000</v>
      </c>
      <c r="N28" s="26">
        <v>173387000</v>
      </c>
      <c r="O28" s="26">
        <v>319287000</v>
      </c>
      <c r="P28" s="26">
        <v>395591000</v>
      </c>
      <c r="Q28" s="39">
        <f t="shared" si="2"/>
        <v>888265000</v>
      </c>
      <c r="R28" s="28">
        <f t="shared" si="7"/>
        <v>6153107000</v>
      </c>
    </row>
    <row r="29" spans="1:18" x14ac:dyDescent="0.2">
      <c r="A29" s="10" t="s">
        <v>21</v>
      </c>
      <c r="B29" s="40">
        <v>340491000</v>
      </c>
      <c r="C29" s="40">
        <v>259697000</v>
      </c>
      <c r="D29" s="40">
        <v>384833000</v>
      </c>
      <c r="E29" s="27">
        <f t="shared" si="0"/>
        <v>985021000</v>
      </c>
      <c r="F29" s="26">
        <v>798300000</v>
      </c>
      <c r="G29" s="26">
        <v>974237000</v>
      </c>
      <c r="H29" s="26">
        <v>83470000</v>
      </c>
      <c r="I29" s="39">
        <f t="shared" si="3"/>
        <v>1856007000</v>
      </c>
      <c r="J29" s="26">
        <v>90151000</v>
      </c>
      <c r="K29" s="26">
        <v>94868000</v>
      </c>
      <c r="L29" s="26">
        <v>955420000</v>
      </c>
      <c r="M29" s="39">
        <f t="shared" si="1"/>
        <v>1140439000</v>
      </c>
      <c r="N29" s="26">
        <v>817056000</v>
      </c>
      <c r="O29" s="26">
        <v>82067000</v>
      </c>
      <c r="P29" s="26">
        <v>216727000</v>
      </c>
      <c r="Q29" s="39">
        <f t="shared" si="2"/>
        <v>1115850000</v>
      </c>
      <c r="R29" s="28">
        <f t="shared" si="7"/>
        <v>5097317000</v>
      </c>
    </row>
    <row r="30" spans="1:18" x14ac:dyDescent="0.2">
      <c r="A30" s="10" t="s">
        <v>22</v>
      </c>
      <c r="B30" s="40">
        <v>937033000</v>
      </c>
      <c r="C30" s="40">
        <v>771692000</v>
      </c>
      <c r="D30" s="40">
        <v>866755000</v>
      </c>
      <c r="E30" s="27">
        <f t="shared" si="0"/>
        <v>2575480000</v>
      </c>
      <c r="F30" s="26">
        <v>620418000</v>
      </c>
      <c r="G30" s="26">
        <v>496938000</v>
      </c>
      <c r="H30" s="26">
        <v>40267000</v>
      </c>
      <c r="I30" s="39">
        <f t="shared" si="3"/>
        <v>1157623000</v>
      </c>
      <c r="J30" s="26">
        <v>645726000</v>
      </c>
      <c r="K30" s="26">
        <v>169666000</v>
      </c>
      <c r="L30" s="26">
        <v>716347000</v>
      </c>
      <c r="M30" s="39">
        <f t="shared" si="1"/>
        <v>1531739000</v>
      </c>
      <c r="N30" s="26">
        <v>173387000</v>
      </c>
      <c r="O30" s="26">
        <v>319287000</v>
      </c>
      <c r="P30" s="26">
        <v>395591000</v>
      </c>
      <c r="Q30" s="39">
        <f t="shared" si="2"/>
        <v>888265000</v>
      </c>
      <c r="R30" s="28">
        <f t="shared" si="7"/>
        <v>6153107000</v>
      </c>
    </row>
    <row r="31" spans="1:18" x14ac:dyDescent="0.2">
      <c r="A31" s="10" t="s">
        <v>23</v>
      </c>
      <c r="B31" s="40">
        <v>340491000</v>
      </c>
      <c r="C31" s="40">
        <v>259697000</v>
      </c>
      <c r="D31" s="40">
        <v>384833000</v>
      </c>
      <c r="E31" s="27">
        <f t="shared" si="0"/>
        <v>985021000</v>
      </c>
      <c r="F31" s="26">
        <v>798300000</v>
      </c>
      <c r="G31" s="26">
        <v>974237000</v>
      </c>
      <c r="H31" s="26">
        <v>83470000</v>
      </c>
      <c r="I31" s="39">
        <f t="shared" si="3"/>
        <v>1856007000</v>
      </c>
      <c r="J31" s="26">
        <v>90151000</v>
      </c>
      <c r="K31" s="26">
        <v>94868000</v>
      </c>
      <c r="L31" s="26">
        <v>955420000</v>
      </c>
      <c r="M31" s="39">
        <f t="shared" si="1"/>
        <v>1140439000</v>
      </c>
      <c r="N31" s="26">
        <v>817056000</v>
      </c>
      <c r="O31" s="26">
        <v>82067000</v>
      </c>
      <c r="P31" s="26">
        <v>216727000</v>
      </c>
      <c r="Q31" s="39">
        <f t="shared" si="2"/>
        <v>1115850000</v>
      </c>
      <c r="R31" s="28">
        <f t="shared" si="7"/>
        <v>5097317000</v>
      </c>
    </row>
    <row r="32" spans="1:18" x14ac:dyDescent="0.2">
      <c r="A32" s="10" t="s">
        <v>24</v>
      </c>
      <c r="B32" s="40">
        <v>937033000</v>
      </c>
      <c r="C32" s="40">
        <v>771692000</v>
      </c>
      <c r="D32" s="40">
        <v>866755000</v>
      </c>
      <c r="E32" s="29">
        <f t="shared" si="0"/>
        <v>2575480000</v>
      </c>
      <c r="F32" s="26">
        <v>620418000</v>
      </c>
      <c r="G32" s="26">
        <v>496938000</v>
      </c>
      <c r="H32" s="26">
        <v>40267000</v>
      </c>
      <c r="I32" s="30">
        <f t="shared" si="3"/>
        <v>1157623000</v>
      </c>
      <c r="J32" s="26">
        <v>645726000</v>
      </c>
      <c r="K32" s="26">
        <v>169666000</v>
      </c>
      <c r="L32" s="26">
        <v>716347000</v>
      </c>
      <c r="M32" s="30">
        <f t="shared" si="1"/>
        <v>1531739000</v>
      </c>
      <c r="N32" s="26">
        <v>173387000</v>
      </c>
      <c r="O32" s="26">
        <v>319287000</v>
      </c>
      <c r="P32" s="26">
        <v>395591000</v>
      </c>
      <c r="Q32" s="30">
        <f t="shared" si="2"/>
        <v>888265000</v>
      </c>
      <c r="R32" s="31">
        <f t="shared" si="7"/>
        <v>6153107000</v>
      </c>
    </row>
    <row r="33" spans="1:18" ht="13.5" thickBot="1" x14ac:dyDescent="0.25">
      <c r="A33" s="11" t="s">
        <v>25</v>
      </c>
      <c r="B33" s="41">
        <f t="shared" ref="B33:P33" si="8">SUM(B17:B32)</f>
        <v>10220192000</v>
      </c>
      <c r="C33" s="41">
        <f t="shared" si="8"/>
        <v>8251112000</v>
      </c>
      <c r="D33" s="41">
        <f t="shared" si="8"/>
        <v>10012704000</v>
      </c>
      <c r="E33" s="33">
        <f>SUM(E17:E32)</f>
        <v>28484008000</v>
      </c>
      <c r="F33" s="32">
        <f t="shared" si="8"/>
        <v>11349744000</v>
      </c>
      <c r="G33" s="32">
        <f t="shared" si="8"/>
        <v>11769400000</v>
      </c>
      <c r="H33" s="32">
        <f t="shared" si="8"/>
        <v>989896000</v>
      </c>
      <c r="I33" s="34">
        <f>SUM(I17:I32)</f>
        <v>24109040000</v>
      </c>
      <c r="J33" s="32">
        <f t="shared" si="8"/>
        <v>5887016000</v>
      </c>
      <c r="K33" s="32">
        <f t="shared" si="8"/>
        <v>2116272000</v>
      </c>
      <c r="L33" s="32">
        <f t="shared" si="8"/>
        <v>13374136000</v>
      </c>
      <c r="M33" s="34">
        <f>SUM(M17:M32)</f>
        <v>21377424000</v>
      </c>
      <c r="N33" s="32">
        <f t="shared" si="8"/>
        <v>7923544000</v>
      </c>
      <c r="O33" s="32">
        <f t="shared" si="8"/>
        <v>3210832000</v>
      </c>
      <c r="P33" s="32">
        <f t="shared" si="8"/>
        <v>4898544000</v>
      </c>
      <c r="Q33" s="34">
        <f>SUM(Q17:Q32)</f>
        <v>16032920000</v>
      </c>
      <c r="R33" s="35">
        <f>SUM(R17:R32)</f>
        <v>90003392000</v>
      </c>
    </row>
    <row r="34" spans="1:18" x14ac:dyDescent="0.2">
      <c r="A34" s="12"/>
      <c r="B34" s="42"/>
      <c r="C34" s="42"/>
      <c r="D34" s="42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7"/>
    </row>
    <row r="35" spans="1:18" x14ac:dyDescent="0.2">
      <c r="A35" s="24" t="s">
        <v>44</v>
      </c>
      <c r="B35" s="43">
        <f t="shared" ref="B35:R35" si="9">B7+B14+B33</f>
        <v>14052764000</v>
      </c>
      <c r="C35" s="43">
        <f t="shared" si="9"/>
        <v>11345279000</v>
      </c>
      <c r="D35" s="43">
        <f t="shared" si="9"/>
        <v>13767468000</v>
      </c>
      <c r="E35" s="38">
        <f t="shared" si="9"/>
        <v>39165511000</v>
      </c>
      <c r="F35" s="38">
        <f t="shared" si="9"/>
        <v>15605898000</v>
      </c>
      <c r="G35" s="38">
        <f t="shared" si="9"/>
        <v>16182925000</v>
      </c>
      <c r="H35" s="38">
        <f t="shared" si="9"/>
        <v>1361107000</v>
      </c>
      <c r="I35" s="38">
        <f t="shared" si="9"/>
        <v>33149930000</v>
      </c>
      <c r="J35" s="38">
        <f t="shared" si="9"/>
        <v>8094647000</v>
      </c>
      <c r="K35" s="38">
        <f t="shared" si="9"/>
        <v>2909874000</v>
      </c>
      <c r="L35" s="38">
        <f t="shared" si="9"/>
        <v>18389437000</v>
      </c>
      <c r="M35" s="38">
        <f t="shared" si="9"/>
        <v>29393958000</v>
      </c>
      <c r="N35" s="38">
        <f t="shared" si="9"/>
        <v>10894873000</v>
      </c>
      <c r="O35" s="38">
        <f t="shared" si="9"/>
        <v>4414894000</v>
      </c>
      <c r="P35" s="38">
        <f t="shared" si="9"/>
        <v>6735498000</v>
      </c>
      <c r="Q35" s="38">
        <f t="shared" si="9"/>
        <v>22045265000</v>
      </c>
      <c r="R35" s="38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销售表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www.zesow.com-刘伟</cp:lastModifiedBy>
  <dcterms:created xsi:type="dcterms:W3CDTF">2014-07-19T06:15:20Z</dcterms:created>
  <dcterms:modified xsi:type="dcterms:W3CDTF">2014-10-25T02:43:52Z</dcterms:modified>
</cp:coreProperties>
</file>