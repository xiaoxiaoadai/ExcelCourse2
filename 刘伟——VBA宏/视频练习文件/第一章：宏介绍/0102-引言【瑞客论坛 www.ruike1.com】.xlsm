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codeName="ThisWorkbook" defaultThemeVersion="124226"/>
  <bookViews>
    <workbookView xWindow="285" yWindow="45" windowWidth="9540" windowHeight="7185" tabRatio="743"/>
  </bookViews>
  <sheets>
    <sheet name="人事表" sheetId="4" r:id="rId1"/>
    <sheet name="副表" sheetId="14" r:id="rId2"/>
    <sheet name="Sheet1" sheetId="15" r:id="rId3"/>
    <sheet name="Sheet2" sheetId="16" r:id="rId4"/>
    <sheet name="Sheet3" sheetId="17" r:id="rId5"/>
  </sheets>
  <externalReferences>
    <externalReference r:id="rId6"/>
    <externalReference r:id="rId7"/>
  </externalReferences>
  <definedNames>
    <definedName name="_xlnm._FilterDatabase" localSheetId="0" hidden="1">人事表!$A$1:$H$40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Income" localSheetId="1">#REF!</definedName>
    <definedName name="Income">#REF!</definedName>
    <definedName name="k" localSheetId="1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w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人事表!$B$1:$H$40</definedName>
    <definedName name="Z_32E1B1E0_F29A_4FB3_9E7F_F78F245BC75E_.wvu.PrintArea" localSheetId="0" hidden="1">人事表!$B$1:$H$40</definedName>
    <definedName name="Z_32E1B1E0_F29A_4FB3_9E7F_F78F245BC75E_.wvu.PrintTitles" localSheetId="0" hidden="1">人事表!$1:$1</definedName>
  </definedNames>
  <calcPr calcId="145621"/>
</workbook>
</file>

<file path=xl/calcChain.xml><?xml version="1.0" encoding="utf-8"?>
<calcChain xmlns="http://schemas.openxmlformats.org/spreadsheetml/2006/main">
  <c r="I24" i="14" l="1"/>
  <c r="D23" i="14" l="1"/>
  <c r="C2" i="14"/>
  <c r="C3" i="14"/>
  <c r="I3" i="14"/>
  <c r="C4" i="14"/>
  <c r="I4" i="14"/>
  <c r="C5" i="14"/>
  <c r="I5" i="14"/>
  <c r="C6" i="14"/>
  <c r="I6" i="14"/>
  <c r="C7" i="14"/>
  <c r="I7" i="14"/>
  <c r="C8" i="14"/>
  <c r="I8" i="14"/>
  <c r="C9" i="14"/>
  <c r="I9" i="14"/>
  <c r="I10" i="14"/>
  <c r="I11" i="14"/>
  <c r="I12" i="14"/>
  <c r="I13" i="14"/>
  <c r="I14" i="14"/>
  <c r="B16" i="14"/>
  <c r="D16" i="14"/>
  <c r="B23" i="14"/>
  <c r="B30" i="14"/>
  <c r="D30" i="14"/>
  <c r="B37" i="14"/>
  <c r="D37" i="14"/>
  <c r="I25" i="14" l="1"/>
</calcChain>
</file>

<file path=xl/sharedStrings.xml><?xml version="1.0" encoding="utf-8"?>
<sst xmlns="http://schemas.openxmlformats.org/spreadsheetml/2006/main" count="216" uniqueCount="141">
  <si>
    <t>北京</t>
  </si>
  <si>
    <t>天津</t>
  </si>
  <si>
    <t>上海</t>
  </si>
  <si>
    <t>重庆</t>
  </si>
  <si>
    <t>西安</t>
  </si>
  <si>
    <t>郑州</t>
  </si>
  <si>
    <t>沈阳</t>
  </si>
  <si>
    <t>长春</t>
  </si>
  <si>
    <t>哈尔滨</t>
  </si>
  <si>
    <t>南京</t>
  </si>
  <si>
    <t>杭州</t>
  </si>
  <si>
    <t>合肥</t>
  </si>
  <si>
    <t>武汉</t>
  </si>
  <si>
    <t>长沙</t>
  </si>
  <si>
    <t>成都</t>
  </si>
  <si>
    <t>贵阳</t>
  </si>
  <si>
    <t>广州</t>
  </si>
  <si>
    <t>兰州</t>
  </si>
  <si>
    <t>钱明杰</t>
  </si>
  <si>
    <t>崔靖易</t>
  </si>
  <si>
    <t>康含玉</t>
  </si>
  <si>
    <t>张慕青</t>
  </si>
  <si>
    <t>李若雁</t>
  </si>
  <si>
    <t>李诗</t>
  </si>
  <si>
    <t>李诗诗</t>
  </si>
  <si>
    <t>康熠彤</t>
  </si>
  <si>
    <t>钱友易</t>
  </si>
  <si>
    <t>李青槐</t>
  </si>
  <si>
    <t>崔夜蓉</t>
  </si>
  <si>
    <t>李元风</t>
  </si>
  <si>
    <t>崔峻熙</t>
  </si>
  <si>
    <t>张山兰</t>
  </si>
  <si>
    <t>崔安蕾</t>
  </si>
  <si>
    <t>钱梦琪</t>
  </si>
  <si>
    <t>李如波</t>
  </si>
  <si>
    <t>康如彤</t>
  </si>
  <si>
    <t>张语蓉</t>
  </si>
  <si>
    <t>张之柔</t>
  </si>
  <si>
    <t>康傲珊</t>
  </si>
  <si>
    <t>钱鑫鹏</t>
  </si>
  <si>
    <t>刘之桃</t>
  </si>
  <si>
    <t>刘昊天</t>
  </si>
  <si>
    <t>王夏青</t>
  </si>
  <si>
    <t>王芷波</t>
  </si>
  <si>
    <t>周又晴</t>
  </si>
  <si>
    <t>赵弘文</t>
  </si>
  <si>
    <t>赵天荷</t>
  </si>
  <si>
    <t>代曼文</t>
  </si>
  <si>
    <t>代采枫</t>
  </si>
  <si>
    <t>周昊然</t>
  </si>
  <si>
    <t>周冰枫</t>
  </si>
  <si>
    <t>王海安</t>
  </si>
  <si>
    <t>康梦菡</t>
  </si>
  <si>
    <t>张凡蕾</t>
  </si>
  <si>
    <t>康水桃</t>
  </si>
  <si>
    <t>宝马</t>
  </si>
  <si>
    <t>克莱斯勒</t>
  </si>
  <si>
    <t>迈巴赫</t>
  </si>
  <si>
    <t>奔驰</t>
  </si>
  <si>
    <t>Smart</t>
  </si>
  <si>
    <t>玛莎拉蒂</t>
  </si>
  <si>
    <t>法拉利</t>
  </si>
  <si>
    <t>菲亚特</t>
  </si>
  <si>
    <t>福特</t>
  </si>
  <si>
    <t>别克</t>
  </si>
  <si>
    <t>欧宝</t>
  </si>
  <si>
    <t>凯迪拉克</t>
  </si>
  <si>
    <t>雪佛兰</t>
  </si>
  <si>
    <t>现代</t>
  </si>
  <si>
    <t>起亚</t>
  </si>
  <si>
    <t>雪铁龙</t>
  </si>
  <si>
    <t>标致</t>
  </si>
  <si>
    <t>日产</t>
  </si>
  <si>
    <t>雷诺</t>
  </si>
  <si>
    <t>斯巴鲁</t>
  </si>
  <si>
    <t>雷克萨斯</t>
  </si>
  <si>
    <t>丰田</t>
  </si>
  <si>
    <t>奥迪</t>
  </si>
  <si>
    <t>保时捷</t>
  </si>
  <si>
    <t>宾利</t>
  </si>
  <si>
    <t>大众</t>
  </si>
  <si>
    <t>本田</t>
  </si>
  <si>
    <t>讴歌</t>
  </si>
  <si>
    <t>路虎</t>
  </si>
  <si>
    <t>品牌</t>
    <phoneticPr fontId="2" type="noConversion"/>
  </si>
  <si>
    <t>销售员</t>
    <phoneticPr fontId="2" type="noConversion"/>
  </si>
  <si>
    <t>入职时间</t>
    <phoneticPr fontId="2" type="noConversion"/>
  </si>
  <si>
    <t>工作年限</t>
  </si>
  <si>
    <t>员工级别</t>
    <phoneticPr fontId="4" type="noConversion"/>
  </si>
  <si>
    <t>A类</t>
  </si>
  <si>
    <t>C类</t>
  </si>
  <si>
    <t>B类</t>
  </si>
  <si>
    <t>比亚迪</t>
  </si>
  <si>
    <t>A类</t>
    <phoneticPr fontId="2" type="noConversion"/>
  </si>
  <si>
    <t>奔腾</t>
  </si>
  <si>
    <t>帝豪</t>
  </si>
  <si>
    <t>马自达</t>
  </si>
  <si>
    <t>MINI</t>
  </si>
  <si>
    <t>全球鹰</t>
  </si>
  <si>
    <t>奇瑞</t>
  </si>
  <si>
    <t>荣威</t>
  </si>
  <si>
    <t>三菱</t>
  </si>
  <si>
    <t>沃尔沃</t>
  </si>
  <si>
    <t>销售点</t>
    <phoneticPr fontId="2" type="noConversion"/>
  </si>
  <si>
    <t>员工编号</t>
  </si>
  <si>
    <t>基本工资</t>
    <phoneticPr fontId="2" type="noConversion"/>
  </si>
  <si>
    <t>轴距</t>
  </si>
  <si>
    <t>高</t>
  </si>
  <si>
    <t>宽</t>
  </si>
  <si>
    <t>长</t>
  </si>
  <si>
    <t xml:space="preserve"> 40TFSI quattro 运动型</t>
  </si>
  <si>
    <t xml:space="preserve"> 35TFSI自动豪华型</t>
  </si>
  <si>
    <t>车身参数</t>
  </si>
  <si>
    <t>金额</t>
    <phoneticPr fontId="2" type="noConversion"/>
  </si>
  <si>
    <t>销量</t>
    <phoneticPr fontId="2" type="noConversion"/>
  </si>
  <si>
    <t>总计</t>
    <phoneticPr fontId="2" type="noConversion"/>
  </si>
  <si>
    <t xml:space="preserve"> 35TFSI自动技术型</t>
  </si>
  <si>
    <t xml:space="preserve"> 40TFSI quattro 个性运动型</t>
  </si>
  <si>
    <t xml:space="preserve"> 35TFSI自动舒适型</t>
  </si>
  <si>
    <t xml:space="preserve"> 35TFSI自动标准型</t>
  </si>
  <si>
    <t xml:space="preserve"> 30TFSI自动舒适型</t>
  </si>
  <si>
    <t xml:space="preserve"> 30TFSI手动舒适型</t>
  </si>
  <si>
    <t>最高车速(km/h)</t>
  </si>
  <si>
    <t>综合油耗(L/100km)</t>
    <phoneticPr fontId="2" type="noConversion"/>
  </si>
  <si>
    <t>消费税</t>
    <phoneticPr fontId="2" type="noConversion"/>
  </si>
  <si>
    <t xml:space="preserve"> 35TFSI自动标准型</t>
    <phoneticPr fontId="2" type="noConversion"/>
  </si>
  <si>
    <t>售价</t>
    <phoneticPr fontId="2" type="noConversion"/>
  </si>
  <si>
    <t>月份</t>
    <phoneticPr fontId="2" type="noConversion"/>
  </si>
  <si>
    <t>销售提成金</t>
    <phoneticPr fontId="2" type="noConversion"/>
  </si>
  <si>
    <t>唐宇盈</t>
    <phoneticPr fontId="2" type="noConversion"/>
  </si>
  <si>
    <t>A类</t>
    <phoneticPr fontId="2" type="noConversion"/>
  </si>
  <si>
    <t>30TFSI手动舒适型</t>
    <phoneticPr fontId="2" type="noConversion"/>
  </si>
  <si>
    <t xml:space="preserve">2013款奥迪A4L </t>
    <phoneticPr fontId="2" type="noConversion"/>
  </si>
  <si>
    <t>30TFSI自动舒适型</t>
  </si>
  <si>
    <t>35TFSI自动标准型</t>
  </si>
  <si>
    <t>35TFSI自动舒适型</t>
  </si>
  <si>
    <t>40TFSI quattro 个性运动型</t>
  </si>
  <si>
    <t>35TFSI自动技术型</t>
  </si>
  <si>
    <t>35TFSI自动豪华型</t>
  </si>
  <si>
    <t>40TFSI quattro 运动型</t>
  </si>
  <si>
    <t>刘佳佳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</si>
</sst>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9" formatCode="000\-00\-0000"/>
    <numFmt numFmtId="180" formatCode="[&lt;=9999999]###\-####;\(###\)\ ###\-####"/>
    <numFmt numFmtId="194" formatCode="yyyy\-mm\-dd"/>
    <numFmt numFmtId="195" formatCode="000\-000"/>
  </numFmts>
  <fonts count="9" x14ac:knownFonts="1">
    <font>
      <sz val="11"/>
      <color theme="1"/>
      <name val="宋体"/>
      <family val="2"/>
      <scheme val="minor"/>
    </font>
    <font>
      <sz val="10"/>
      <name val="Calibri"/>
      <family val="2"/>
    </font>
    <font>
      <sz val="9"/>
      <name val="宋体"/>
      <family val="3"/>
      <charset val="134"/>
      <scheme val="minor"/>
    </font>
    <font>
      <sz val="12"/>
      <name val="Calibri"/>
      <family val="2"/>
    </font>
    <font>
      <sz val="9"/>
      <name val="宋体"/>
      <family val="3"/>
      <charset val="134"/>
    </font>
    <font>
      <sz val="11"/>
      <color theme="1"/>
      <name val="Calibri"/>
      <family val="2"/>
    </font>
    <font>
      <sz val="11"/>
      <color theme="1"/>
      <name val="华文中宋"/>
      <family val="3"/>
      <charset val="134"/>
    </font>
    <font>
      <sz val="12"/>
      <name val="Times New Roman"/>
      <family val="1"/>
    </font>
    <font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9">
    <xf numFmtId="0" fontId="0" fillId="0" borderId="0" xfId="0"/>
    <xf numFmtId="0" fontId="1" fillId="0" borderId="0" xfId="0" applyFont="1" applyProtection="1"/>
    <xf numFmtId="179" fontId="1" fillId="0" borderId="0" xfId="0" applyNumberFormat="1" applyFont="1" applyProtection="1"/>
    <xf numFmtId="180" fontId="1" fillId="0" borderId="0" xfId="0" applyNumberFormat="1" applyFont="1" applyProtection="1"/>
    <xf numFmtId="0" fontId="6" fillId="0" borderId="0" xfId="0" applyFont="1"/>
    <xf numFmtId="0" fontId="6" fillId="0" borderId="1" xfId="0" applyFont="1" applyBorder="1" applyAlignment="1">
      <alignment horizontal="center" vertical="center"/>
    </xf>
    <xf numFmtId="194" fontId="6" fillId="0" borderId="1" xfId="0" applyNumberFormat="1" applyFont="1" applyBorder="1" applyAlignment="1">
      <alignment horizontal="center" vertical="center"/>
    </xf>
    <xf numFmtId="0" fontId="6" fillId="0" borderId="0" xfId="0" applyFont="1" applyAlignment="1"/>
    <xf numFmtId="194" fontId="8" fillId="0" borderId="0" xfId="0" applyNumberFormat="1" applyFont="1" applyAlignment="1"/>
    <xf numFmtId="0" fontId="8" fillId="0" borderId="0" xfId="0" applyFont="1" applyAlignment="1"/>
    <xf numFmtId="0" fontId="6" fillId="0" borderId="0" xfId="0" applyFont="1" applyAlignment="1">
      <alignment horizontal="center"/>
    </xf>
    <xf numFmtId="195" fontId="6" fillId="0" borderId="1" xfId="0" applyNumberFormat="1" applyFont="1" applyBorder="1" applyAlignment="1">
      <alignment horizontal="center" vertical="center"/>
    </xf>
    <xf numFmtId="195" fontId="8" fillId="0" borderId="0" xfId="0" applyNumberFormat="1" applyFont="1" applyAlignment="1">
      <alignment horizontal="right"/>
    </xf>
    <xf numFmtId="195" fontId="3" fillId="0" borderId="0" xfId="0" applyNumberFormat="1" applyFont="1" applyAlignment="1" applyProtection="1">
      <alignment horizontal="right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5" fillId="0" borderId="0" xfId="0" applyFont="1"/>
    <xf numFmtId="0" fontId="5" fillId="0" borderId="0" xfId="0" applyFont="1" applyBorder="1"/>
    <xf numFmtId="0" fontId="5" fillId="0" borderId="6" xfId="0" applyFont="1" applyBorder="1"/>
    <xf numFmtId="0" fontId="5" fillId="0" borderId="8" xfId="0" applyFont="1" applyBorder="1"/>
    <xf numFmtId="0" fontId="5" fillId="0" borderId="9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7" xfId="0" applyFont="1" applyBorder="1"/>
  </cellXfs>
  <cellStyles count="2">
    <cellStyle name="常规" xfId="0" builtinId="0"/>
    <cellStyle name="一般_P&amp;L_1s " xfId="1"/>
  </cellStyles>
  <dxfs count="0"/>
  <tableStyles count="0" defaultTableStyle="TableStyleMedium9" defaultPivotStyle="PivotStyleLight16"/>
  <colors>
    <mruColors>
      <color rgb="FFCCFFCC"/>
      <color rgb="FF006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H41"/>
  <sheetViews>
    <sheetView tabSelected="1" zoomScaleNormal="100" zoomScaleSheetLayoutView="100" workbookViewId="0">
      <selection activeCell="I11" sqref="I11"/>
    </sheetView>
  </sheetViews>
  <sheetFormatPr defaultColWidth="19.875" defaultRowHeight="15.75" x14ac:dyDescent="0.25"/>
  <cols>
    <col min="1" max="3" width="13.625" style="1" customWidth="1"/>
    <col min="4" max="4" width="13.625" style="13" customWidth="1"/>
    <col min="5" max="5" width="13.625" style="2" customWidth="1"/>
    <col min="6" max="6" width="13.625" style="3" customWidth="1"/>
    <col min="7" max="8" width="13.625" style="1" customWidth="1"/>
    <col min="9" max="9" width="8.125" style="1" customWidth="1"/>
    <col min="10" max="16384" width="19.875" style="1"/>
  </cols>
  <sheetData>
    <row r="1" spans="1:8" x14ac:dyDescent="0.2">
      <c r="A1" s="5" t="s">
        <v>103</v>
      </c>
      <c r="B1" s="5" t="s">
        <v>84</v>
      </c>
      <c r="C1" s="5" t="s">
        <v>85</v>
      </c>
      <c r="D1" s="11" t="s">
        <v>104</v>
      </c>
      <c r="E1" s="6" t="s">
        <v>86</v>
      </c>
      <c r="F1" s="5" t="s">
        <v>87</v>
      </c>
      <c r="G1" s="5" t="s">
        <v>88</v>
      </c>
      <c r="H1" s="5" t="s">
        <v>105</v>
      </c>
    </row>
    <row r="2" spans="1:8" x14ac:dyDescent="0.25">
      <c r="A2" s="7" t="s">
        <v>1</v>
      </c>
      <c r="B2" s="7" t="s">
        <v>55</v>
      </c>
      <c r="C2" s="7" t="s">
        <v>140</v>
      </c>
      <c r="D2" s="12">
        <v>892979</v>
      </c>
      <c r="E2" s="8">
        <v>37055</v>
      </c>
      <c r="F2" s="9">
        <v>11</v>
      </c>
      <c r="G2" s="10" t="s">
        <v>90</v>
      </c>
      <c r="H2" s="9">
        <v>6400</v>
      </c>
    </row>
    <row r="3" spans="1:8" x14ac:dyDescent="0.25">
      <c r="A3" s="7" t="s">
        <v>6</v>
      </c>
      <c r="B3" s="7" t="s">
        <v>58</v>
      </c>
      <c r="C3" s="7" t="s">
        <v>18</v>
      </c>
      <c r="D3" s="12">
        <v>356268</v>
      </c>
      <c r="E3" s="8">
        <v>38790</v>
      </c>
      <c r="F3" s="9">
        <v>7</v>
      </c>
      <c r="G3" s="10" t="s">
        <v>91</v>
      </c>
      <c r="H3" s="9">
        <v>8900</v>
      </c>
    </row>
    <row r="4" spans="1:8" x14ac:dyDescent="0.25">
      <c r="A4" s="7" t="s">
        <v>7</v>
      </c>
      <c r="B4" s="7" t="s">
        <v>64</v>
      </c>
      <c r="C4" s="7" t="s">
        <v>19</v>
      </c>
      <c r="D4" s="12">
        <v>748898</v>
      </c>
      <c r="E4" s="8">
        <v>39260</v>
      </c>
      <c r="F4" s="9">
        <v>5</v>
      </c>
      <c r="G4" s="10" t="s">
        <v>89</v>
      </c>
      <c r="H4" s="9">
        <v>8300</v>
      </c>
    </row>
    <row r="5" spans="1:8" x14ac:dyDescent="0.25">
      <c r="A5" s="7" t="s">
        <v>8</v>
      </c>
      <c r="B5" s="7" t="s">
        <v>81</v>
      </c>
      <c r="C5" s="7" t="s">
        <v>20</v>
      </c>
      <c r="D5" s="12">
        <v>743899</v>
      </c>
      <c r="E5" s="8">
        <v>36667</v>
      </c>
      <c r="F5" s="9">
        <v>13</v>
      </c>
      <c r="G5" s="10" t="s">
        <v>91</v>
      </c>
      <c r="H5" s="9">
        <v>6200</v>
      </c>
    </row>
    <row r="6" spans="1:8" x14ac:dyDescent="0.25">
      <c r="A6" s="7" t="s">
        <v>2</v>
      </c>
      <c r="B6" s="7" t="s">
        <v>92</v>
      </c>
      <c r="C6" s="7" t="s">
        <v>21</v>
      </c>
      <c r="D6" s="12">
        <v>379405</v>
      </c>
      <c r="E6" s="8">
        <v>36652</v>
      </c>
      <c r="F6" s="9">
        <v>13</v>
      </c>
      <c r="G6" s="10" t="s">
        <v>89</v>
      </c>
      <c r="H6" s="9">
        <v>8800</v>
      </c>
    </row>
    <row r="7" spans="1:8" x14ac:dyDescent="0.25">
      <c r="A7" s="7" t="s">
        <v>9</v>
      </c>
      <c r="B7" s="7" t="s">
        <v>71</v>
      </c>
      <c r="C7" s="7" t="s">
        <v>22</v>
      </c>
      <c r="D7" s="12">
        <v>382097</v>
      </c>
      <c r="E7" s="8">
        <v>39199</v>
      </c>
      <c r="F7" s="9">
        <v>11</v>
      </c>
      <c r="G7" s="10" t="s">
        <v>93</v>
      </c>
      <c r="H7" s="9">
        <v>9600</v>
      </c>
    </row>
    <row r="8" spans="1:8" x14ac:dyDescent="0.25">
      <c r="A8" s="7" t="s">
        <v>0</v>
      </c>
      <c r="B8" s="7" t="s">
        <v>77</v>
      </c>
      <c r="C8" s="7" t="s">
        <v>129</v>
      </c>
      <c r="D8" s="12">
        <v>557954</v>
      </c>
      <c r="E8" s="8">
        <v>37589</v>
      </c>
      <c r="F8" s="9">
        <v>10</v>
      </c>
      <c r="G8" s="10" t="s">
        <v>130</v>
      </c>
      <c r="H8" s="9">
        <v>6200</v>
      </c>
    </row>
    <row r="9" spans="1:8" x14ac:dyDescent="0.25">
      <c r="A9" s="7" t="s">
        <v>10</v>
      </c>
      <c r="B9" s="7" t="s">
        <v>94</v>
      </c>
      <c r="C9" s="7" t="s">
        <v>23</v>
      </c>
      <c r="D9" s="12">
        <v>869305</v>
      </c>
      <c r="E9" s="8">
        <v>38800</v>
      </c>
      <c r="F9" s="9">
        <v>7</v>
      </c>
      <c r="G9" s="10" t="s">
        <v>89</v>
      </c>
      <c r="H9" s="9">
        <v>7500</v>
      </c>
    </row>
    <row r="10" spans="1:8" x14ac:dyDescent="0.25">
      <c r="A10" s="7" t="s">
        <v>11</v>
      </c>
      <c r="B10" s="7" t="s">
        <v>78</v>
      </c>
      <c r="C10" s="7" t="s">
        <v>24</v>
      </c>
      <c r="D10" s="12">
        <v>494578</v>
      </c>
      <c r="E10" s="8">
        <v>37134</v>
      </c>
      <c r="F10" s="9">
        <v>11</v>
      </c>
      <c r="G10" s="10" t="s">
        <v>90</v>
      </c>
      <c r="H10" s="9">
        <v>9100</v>
      </c>
    </row>
    <row r="11" spans="1:8" x14ac:dyDescent="0.25">
      <c r="A11" s="7" t="s">
        <v>5</v>
      </c>
      <c r="B11" s="7" t="s">
        <v>68</v>
      </c>
      <c r="C11" s="7" t="s">
        <v>52</v>
      </c>
      <c r="D11" s="12">
        <v>361307</v>
      </c>
      <c r="E11" s="8">
        <v>37000</v>
      </c>
      <c r="F11" s="9">
        <v>12</v>
      </c>
      <c r="G11" s="10" t="s">
        <v>91</v>
      </c>
      <c r="H11" s="9">
        <v>9600</v>
      </c>
    </row>
    <row r="12" spans="1:8" x14ac:dyDescent="0.25">
      <c r="A12" s="7" t="s">
        <v>12</v>
      </c>
      <c r="B12" s="7" t="s">
        <v>67</v>
      </c>
      <c r="C12" s="7" t="s">
        <v>53</v>
      </c>
      <c r="D12" s="12">
        <v>571797</v>
      </c>
      <c r="E12" s="8">
        <v>37274</v>
      </c>
      <c r="F12" s="9">
        <v>11</v>
      </c>
      <c r="G12" s="10" t="s">
        <v>90</v>
      </c>
      <c r="H12" s="9">
        <v>7500</v>
      </c>
    </row>
    <row r="13" spans="1:8" x14ac:dyDescent="0.25">
      <c r="A13" s="7" t="s">
        <v>13</v>
      </c>
      <c r="B13" s="7" t="s">
        <v>70</v>
      </c>
      <c r="C13" s="7" t="s">
        <v>54</v>
      </c>
      <c r="D13" s="12">
        <v>948592</v>
      </c>
      <c r="E13" s="8">
        <v>37968</v>
      </c>
      <c r="F13" s="9">
        <v>9</v>
      </c>
      <c r="G13" s="10" t="s">
        <v>91</v>
      </c>
      <c r="H13" s="9">
        <v>8300</v>
      </c>
    </row>
    <row r="14" spans="1:8" x14ac:dyDescent="0.25">
      <c r="A14" s="7" t="s">
        <v>16</v>
      </c>
      <c r="B14" s="7" t="s">
        <v>79</v>
      </c>
      <c r="C14" s="7" t="s">
        <v>25</v>
      </c>
      <c r="D14" s="12">
        <v>514741</v>
      </c>
      <c r="E14" s="8">
        <v>37335</v>
      </c>
      <c r="F14" s="9">
        <v>11</v>
      </c>
      <c r="G14" s="10" t="s">
        <v>90</v>
      </c>
      <c r="H14" s="9">
        <v>9900</v>
      </c>
    </row>
    <row r="15" spans="1:8" x14ac:dyDescent="0.25">
      <c r="A15" s="7" t="s">
        <v>3</v>
      </c>
      <c r="B15" s="7" t="s">
        <v>80</v>
      </c>
      <c r="C15" s="7" t="s">
        <v>26</v>
      </c>
      <c r="D15" s="12">
        <v>273846</v>
      </c>
      <c r="E15" s="8">
        <v>38538</v>
      </c>
      <c r="F15" s="9">
        <v>7</v>
      </c>
      <c r="G15" s="10" t="s">
        <v>91</v>
      </c>
      <c r="H15" s="9">
        <v>8100</v>
      </c>
    </row>
    <row r="16" spans="1:8" x14ac:dyDescent="0.25">
      <c r="A16" s="7" t="s">
        <v>14</v>
      </c>
      <c r="B16" s="7" t="s">
        <v>95</v>
      </c>
      <c r="C16" s="7" t="s">
        <v>27</v>
      </c>
      <c r="D16" s="12">
        <v>874727</v>
      </c>
      <c r="E16" s="8">
        <v>36996</v>
      </c>
      <c r="F16" s="9">
        <v>12</v>
      </c>
      <c r="G16" s="10" t="s">
        <v>89</v>
      </c>
      <c r="H16" s="9">
        <v>7400</v>
      </c>
    </row>
    <row r="17" spans="1:8" x14ac:dyDescent="0.25">
      <c r="A17" s="7" t="s">
        <v>15</v>
      </c>
      <c r="B17" s="7" t="s">
        <v>76</v>
      </c>
      <c r="C17" s="7" t="s">
        <v>28</v>
      </c>
      <c r="D17" s="12">
        <v>392639</v>
      </c>
      <c r="E17" s="8">
        <v>40543</v>
      </c>
      <c r="F17" s="9">
        <v>2</v>
      </c>
      <c r="G17" s="10" t="s">
        <v>89</v>
      </c>
      <c r="H17" s="9">
        <v>8600</v>
      </c>
    </row>
    <row r="18" spans="1:8" x14ac:dyDescent="0.25">
      <c r="A18" s="7" t="s">
        <v>4</v>
      </c>
      <c r="B18" s="7" t="s">
        <v>63</v>
      </c>
      <c r="C18" s="7" t="s">
        <v>29</v>
      </c>
      <c r="D18" s="12">
        <v>293939</v>
      </c>
      <c r="E18" s="8">
        <v>40685</v>
      </c>
      <c r="F18" s="9">
        <v>2</v>
      </c>
      <c r="G18" s="10" t="s">
        <v>89</v>
      </c>
      <c r="H18" s="9">
        <v>7000</v>
      </c>
    </row>
    <row r="19" spans="1:8" x14ac:dyDescent="0.25">
      <c r="A19" s="7" t="s">
        <v>17</v>
      </c>
      <c r="B19" s="7" t="s">
        <v>61</v>
      </c>
      <c r="C19" s="7" t="s">
        <v>30</v>
      </c>
      <c r="D19" s="12">
        <v>753018</v>
      </c>
      <c r="E19" s="8">
        <v>40017</v>
      </c>
      <c r="F19" s="9">
        <v>3</v>
      </c>
      <c r="G19" s="10" t="s">
        <v>91</v>
      </c>
      <c r="H19" s="9">
        <v>7100</v>
      </c>
    </row>
    <row r="20" spans="1:8" x14ac:dyDescent="0.25">
      <c r="A20" s="7" t="s">
        <v>8</v>
      </c>
      <c r="B20" s="7" t="s">
        <v>62</v>
      </c>
      <c r="C20" s="7" t="s">
        <v>31</v>
      </c>
      <c r="D20" s="12">
        <v>315388</v>
      </c>
      <c r="E20" s="8">
        <v>40348</v>
      </c>
      <c r="F20" s="9">
        <v>2</v>
      </c>
      <c r="G20" s="10" t="s">
        <v>90</v>
      </c>
      <c r="H20" s="9">
        <v>8700</v>
      </c>
    </row>
    <row r="21" spans="1:8" x14ac:dyDescent="0.25">
      <c r="A21" s="7" t="s">
        <v>2</v>
      </c>
      <c r="B21" s="7" t="s">
        <v>66</v>
      </c>
      <c r="C21" s="7" t="s">
        <v>32</v>
      </c>
      <c r="D21" s="12">
        <v>669939</v>
      </c>
      <c r="E21" s="8">
        <v>37791</v>
      </c>
      <c r="F21" s="9">
        <v>9</v>
      </c>
      <c r="G21" s="10" t="s">
        <v>90</v>
      </c>
      <c r="H21" s="9">
        <v>8000</v>
      </c>
    </row>
    <row r="22" spans="1:8" x14ac:dyDescent="0.25">
      <c r="A22" s="7" t="s">
        <v>9</v>
      </c>
      <c r="B22" s="7" t="s">
        <v>56</v>
      </c>
      <c r="C22" s="7" t="s">
        <v>33</v>
      </c>
      <c r="D22" s="12">
        <v>467138</v>
      </c>
      <c r="E22" s="8">
        <v>39358</v>
      </c>
      <c r="F22" s="9">
        <v>5</v>
      </c>
      <c r="G22" s="10" t="s">
        <v>90</v>
      </c>
      <c r="H22" s="9">
        <v>6000</v>
      </c>
    </row>
    <row r="23" spans="1:8" x14ac:dyDescent="0.25">
      <c r="A23" s="7" t="s">
        <v>10</v>
      </c>
      <c r="B23" s="7" t="s">
        <v>75</v>
      </c>
      <c r="C23" s="7" t="s">
        <v>34</v>
      </c>
      <c r="D23" s="12">
        <v>521419</v>
      </c>
      <c r="E23" s="8">
        <v>38883</v>
      </c>
      <c r="F23" s="9">
        <v>6</v>
      </c>
      <c r="G23" s="10" t="s">
        <v>91</v>
      </c>
      <c r="H23" s="9">
        <v>9400</v>
      </c>
    </row>
    <row r="24" spans="1:8" x14ac:dyDescent="0.25">
      <c r="A24" s="7" t="s">
        <v>11</v>
      </c>
      <c r="B24" s="7" t="s">
        <v>73</v>
      </c>
      <c r="C24" s="7" t="s">
        <v>35</v>
      </c>
      <c r="D24" s="12">
        <v>391628</v>
      </c>
      <c r="E24" s="8">
        <v>37333</v>
      </c>
      <c r="F24" s="9">
        <v>11</v>
      </c>
      <c r="G24" s="10" t="s">
        <v>89</v>
      </c>
      <c r="H24" s="9">
        <v>7000</v>
      </c>
    </row>
    <row r="25" spans="1:8" x14ac:dyDescent="0.25">
      <c r="A25" s="7" t="s">
        <v>5</v>
      </c>
      <c r="B25" s="7" t="s">
        <v>83</v>
      </c>
      <c r="C25" s="7" t="s">
        <v>36</v>
      </c>
      <c r="D25" s="12">
        <v>139074</v>
      </c>
      <c r="E25" s="8">
        <v>36956</v>
      </c>
      <c r="F25" s="9">
        <v>12</v>
      </c>
      <c r="G25" s="10" t="s">
        <v>90</v>
      </c>
      <c r="H25" s="9">
        <v>6500</v>
      </c>
    </row>
    <row r="26" spans="1:8" x14ac:dyDescent="0.25">
      <c r="A26" s="7" t="s">
        <v>12</v>
      </c>
      <c r="B26" s="7" t="s">
        <v>96</v>
      </c>
      <c r="C26" s="7" t="s">
        <v>37</v>
      </c>
      <c r="D26" s="12">
        <v>224795</v>
      </c>
      <c r="E26" s="8">
        <v>38721</v>
      </c>
      <c r="F26" s="9">
        <v>7</v>
      </c>
      <c r="G26" s="10" t="s">
        <v>90</v>
      </c>
      <c r="H26" s="9">
        <v>9700</v>
      </c>
    </row>
    <row r="27" spans="1:8" x14ac:dyDescent="0.25">
      <c r="A27" s="7" t="s">
        <v>13</v>
      </c>
      <c r="B27" s="7" t="s">
        <v>97</v>
      </c>
      <c r="C27" s="7" t="s">
        <v>38</v>
      </c>
      <c r="D27" s="12">
        <v>788526</v>
      </c>
      <c r="E27" s="8">
        <v>40720</v>
      </c>
      <c r="F27" s="9">
        <v>1</v>
      </c>
      <c r="G27" s="10" t="s">
        <v>90</v>
      </c>
      <c r="H27" s="9">
        <v>7700</v>
      </c>
    </row>
    <row r="28" spans="1:8" x14ac:dyDescent="0.25">
      <c r="A28" s="7" t="s">
        <v>0</v>
      </c>
      <c r="B28" s="7" t="s">
        <v>57</v>
      </c>
      <c r="C28" s="7" t="s">
        <v>39</v>
      </c>
      <c r="D28" s="12">
        <v>147112</v>
      </c>
      <c r="E28" s="8">
        <v>40155</v>
      </c>
      <c r="F28" s="9">
        <v>3</v>
      </c>
      <c r="G28" s="10" t="s">
        <v>91</v>
      </c>
      <c r="H28" s="9">
        <v>6700</v>
      </c>
    </row>
    <row r="29" spans="1:8" x14ac:dyDescent="0.25">
      <c r="A29" s="7" t="s">
        <v>1</v>
      </c>
      <c r="B29" s="7" t="s">
        <v>60</v>
      </c>
      <c r="C29" s="7" t="s">
        <v>40</v>
      </c>
      <c r="D29" s="12">
        <v>497552</v>
      </c>
      <c r="E29" s="8">
        <v>39951</v>
      </c>
      <c r="F29" s="9">
        <v>4</v>
      </c>
      <c r="G29" s="10" t="s">
        <v>89</v>
      </c>
      <c r="H29" s="9">
        <v>9500</v>
      </c>
    </row>
    <row r="30" spans="1:8" x14ac:dyDescent="0.25">
      <c r="A30" s="7" t="s">
        <v>6</v>
      </c>
      <c r="B30" s="7" t="s">
        <v>65</v>
      </c>
      <c r="C30" s="7" t="s">
        <v>41</v>
      </c>
      <c r="D30" s="12">
        <v>846146</v>
      </c>
      <c r="E30" s="8">
        <v>37136</v>
      </c>
      <c r="F30" s="9">
        <v>11</v>
      </c>
      <c r="G30" s="10" t="s">
        <v>91</v>
      </c>
      <c r="H30" s="9">
        <v>8800</v>
      </c>
    </row>
    <row r="31" spans="1:8" x14ac:dyDescent="0.25">
      <c r="A31" s="7" t="s">
        <v>7</v>
      </c>
      <c r="B31" s="7" t="s">
        <v>82</v>
      </c>
      <c r="C31" s="7" t="s">
        <v>42</v>
      </c>
      <c r="D31" s="12">
        <v>813392</v>
      </c>
      <c r="E31" s="8">
        <v>39427</v>
      </c>
      <c r="F31" s="9">
        <v>5</v>
      </c>
      <c r="G31" s="10" t="s">
        <v>89</v>
      </c>
      <c r="H31" s="9">
        <v>9800</v>
      </c>
    </row>
    <row r="32" spans="1:8" x14ac:dyDescent="0.25">
      <c r="A32" s="7" t="s">
        <v>8</v>
      </c>
      <c r="B32" s="7" t="s">
        <v>69</v>
      </c>
      <c r="C32" s="7" t="s">
        <v>43</v>
      </c>
      <c r="D32" s="12">
        <v>644227</v>
      </c>
      <c r="E32" s="8">
        <v>38493</v>
      </c>
      <c r="F32" s="9">
        <v>8</v>
      </c>
      <c r="G32" s="10" t="s">
        <v>89</v>
      </c>
      <c r="H32" s="9">
        <v>9700</v>
      </c>
    </row>
    <row r="33" spans="1:8" x14ac:dyDescent="0.25">
      <c r="A33" s="7" t="s">
        <v>2</v>
      </c>
      <c r="B33" s="7" t="s">
        <v>98</v>
      </c>
      <c r="C33" s="7" t="s">
        <v>44</v>
      </c>
      <c r="D33" s="12">
        <v>782070</v>
      </c>
      <c r="E33" s="8">
        <v>39267</v>
      </c>
      <c r="F33" s="9">
        <v>5</v>
      </c>
      <c r="G33" s="10" t="s">
        <v>90</v>
      </c>
      <c r="H33" s="9">
        <v>7300</v>
      </c>
    </row>
    <row r="34" spans="1:8" x14ac:dyDescent="0.25">
      <c r="A34" s="7" t="s">
        <v>9</v>
      </c>
      <c r="B34" s="7" t="s">
        <v>99</v>
      </c>
      <c r="C34" s="7" t="s">
        <v>45</v>
      </c>
      <c r="D34" s="12">
        <v>834750</v>
      </c>
      <c r="E34" s="8">
        <v>39074</v>
      </c>
      <c r="F34" s="9">
        <v>6</v>
      </c>
      <c r="G34" s="10" t="s">
        <v>91</v>
      </c>
      <c r="H34" s="9">
        <v>7900</v>
      </c>
    </row>
    <row r="35" spans="1:8" x14ac:dyDescent="0.25">
      <c r="A35" s="7" t="s">
        <v>10</v>
      </c>
      <c r="B35" s="7" t="s">
        <v>72</v>
      </c>
      <c r="C35" s="7" t="s">
        <v>46</v>
      </c>
      <c r="D35" s="12">
        <v>821812</v>
      </c>
      <c r="E35" s="8">
        <v>41233</v>
      </c>
      <c r="F35" s="9">
        <v>0</v>
      </c>
      <c r="G35" s="10" t="s">
        <v>91</v>
      </c>
      <c r="H35" s="9">
        <v>6200</v>
      </c>
    </row>
    <row r="36" spans="1:8" x14ac:dyDescent="0.25">
      <c r="A36" s="7" t="s">
        <v>11</v>
      </c>
      <c r="B36" s="7" t="s">
        <v>100</v>
      </c>
      <c r="C36" s="7" t="s">
        <v>47</v>
      </c>
      <c r="D36" s="12">
        <v>174665</v>
      </c>
      <c r="E36" s="8">
        <v>38388</v>
      </c>
      <c r="F36" s="9">
        <v>8</v>
      </c>
      <c r="G36" s="10" t="s">
        <v>91</v>
      </c>
      <c r="H36" s="9">
        <v>8700</v>
      </c>
    </row>
    <row r="37" spans="1:8" x14ac:dyDescent="0.25">
      <c r="A37" s="7" t="s">
        <v>5</v>
      </c>
      <c r="B37" s="7" t="s">
        <v>101</v>
      </c>
      <c r="C37" s="7" t="s">
        <v>48</v>
      </c>
      <c r="D37" s="12">
        <v>524623</v>
      </c>
      <c r="E37" s="8">
        <v>38272</v>
      </c>
      <c r="F37" s="9">
        <v>8</v>
      </c>
      <c r="G37" s="10" t="s">
        <v>90</v>
      </c>
      <c r="H37" s="9">
        <v>6100</v>
      </c>
    </row>
    <row r="38" spans="1:8" x14ac:dyDescent="0.25">
      <c r="A38" s="7" t="s">
        <v>6</v>
      </c>
      <c r="B38" s="7" t="s">
        <v>74</v>
      </c>
      <c r="C38" s="7" t="s">
        <v>49</v>
      </c>
      <c r="D38" s="12">
        <v>591045</v>
      </c>
      <c r="E38" s="8">
        <v>40932</v>
      </c>
      <c r="F38" s="9">
        <v>1</v>
      </c>
      <c r="G38" s="10" t="s">
        <v>89</v>
      </c>
      <c r="H38" s="9">
        <v>8400</v>
      </c>
    </row>
    <row r="39" spans="1:8" x14ac:dyDescent="0.25">
      <c r="A39" s="7" t="s">
        <v>7</v>
      </c>
      <c r="B39" s="7" t="s">
        <v>59</v>
      </c>
      <c r="C39" s="7" t="s">
        <v>50</v>
      </c>
      <c r="D39" s="12">
        <v>427743</v>
      </c>
      <c r="E39" s="8">
        <v>37340</v>
      </c>
      <c r="F39" s="9">
        <v>11</v>
      </c>
      <c r="G39" s="10" t="s">
        <v>91</v>
      </c>
      <c r="H39" s="9">
        <v>6200</v>
      </c>
    </row>
    <row r="40" spans="1:8" x14ac:dyDescent="0.25">
      <c r="A40" s="7" t="s">
        <v>8</v>
      </c>
      <c r="B40" s="7" t="s">
        <v>102</v>
      </c>
      <c r="C40" s="7" t="s">
        <v>51</v>
      </c>
      <c r="D40" s="12">
        <v>489643</v>
      </c>
      <c r="E40" s="8">
        <v>40060</v>
      </c>
      <c r="F40" s="9">
        <v>3</v>
      </c>
      <c r="G40" s="10" t="s">
        <v>89</v>
      </c>
      <c r="H40" s="9">
        <v>7300</v>
      </c>
    </row>
    <row r="41" spans="1:8" x14ac:dyDescent="0.25">
      <c r="A41" s="7"/>
    </row>
  </sheetData>
  <sortState ref="B2:AO699">
    <sortCondition ref="F2:F699"/>
  </sortState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14"/>
    <pageSetUpPr fitToPage="1"/>
  </sheetPr>
  <dimension ref="A1:J40"/>
  <sheetViews>
    <sheetView zoomScale="86" zoomScaleNormal="86" workbookViewId="0">
      <selection activeCell="F8" sqref="F8"/>
    </sheetView>
  </sheetViews>
  <sheetFormatPr defaultColWidth="9.125" defaultRowHeight="13.5" x14ac:dyDescent="0.15"/>
  <cols>
    <col min="1" max="1" width="27.5" bestFit="1" customWidth="1"/>
    <col min="2" max="2" width="18" customWidth="1"/>
    <col min="3" max="3" width="13.25" customWidth="1"/>
    <col min="4" max="4" width="17.875" customWidth="1"/>
    <col min="5" max="5" width="11.875" customWidth="1"/>
    <col min="6" max="6" width="5.25" bestFit="1" customWidth="1"/>
    <col min="7" max="7" width="18.75" bestFit="1" customWidth="1"/>
    <col min="8" max="8" width="6.5" bestFit="1" customWidth="1"/>
    <col min="9" max="9" width="18.875" bestFit="1" customWidth="1"/>
    <col min="10" max="10" width="15.5" bestFit="1" customWidth="1"/>
    <col min="11" max="11" width="15.25" bestFit="1" customWidth="1"/>
    <col min="12" max="12" width="6.125" bestFit="1" customWidth="1"/>
    <col min="13" max="13" width="6.375" bestFit="1" customWidth="1"/>
    <col min="14" max="14" width="4.375" customWidth="1"/>
  </cols>
  <sheetData>
    <row r="1" spans="1:10" ht="15.75" x14ac:dyDescent="0.25">
      <c r="A1" s="4" t="s">
        <v>132</v>
      </c>
      <c r="C1" s="4" t="s">
        <v>128</v>
      </c>
    </row>
    <row r="2" spans="1:10" ht="15.75" x14ac:dyDescent="0.25">
      <c r="A2" s="4" t="s">
        <v>131</v>
      </c>
      <c r="B2" s="20">
        <v>27.28</v>
      </c>
      <c r="C2" s="20">
        <f t="shared" ref="C2:C9" si="0">B2*0.02</f>
        <v>0.54560000000000008</v>
      </c>
      <c r="F2" s="4" t="s">
        <v>127</v>
      </c>
      <c r="G2" s="4" t="s">
        <v>114</v>
      </c>
      <c r="H2" s="4" t="s">
        <v>126</v>
      </c>
      <c r="I2" s="4" t="s">
        <v>113</v>
      </c>
    </row>
    <row r="3" spans="1:10" ht="15.75" x14ac:dyDescent="0.25">
      <c r="A3" s="4" t="s">
        <v>133</v>
      </c>
      <c r="B3" s="20">
        <v>29.1</v>
      </c>
      <c r="C3" s="20">
        <f t="shared" si="0"/>
        <v>0.58200000000000007</v>
      </c>
      <c r="F3" s="20">
        <v>1</v>
      </c>
      <c r="G3" s="20">
        <v>14</v>
      </c>
      <c r="H3" s="20">
        <v>27.28</v>
      </c>
      <c r="I3" s="20">
        <f t="shared" ref="I3:I14" si="1">G3*H3</f>
        <v>381.92</v>
      </c>
    </row>
    <row r="4" spans="1:10" ht="15.75" x14ac:dyDescent="0.25">
      <c r="A4" s="4" t="s">
        <v>134</v>
      </c>
      <c r="B4" s="20">
        <v>30.98</v>
      </c>
      <c r="C4" s="20">
        <f t="shared" si="0"/>
        <v>0.61960000000000004</v>
      </c>
      <c r="F4" s="20">
        <v>2</v>
      </c>
      <c r="G4" s="20">
        <v>18</v>
      </c>
      <c r="H4" s="20">
        <v>29.1</v>
      </c>
      <c r="I4" s="20">
        <f t="shared" si="1"/>
        <v>523.80000000000007</v>
      </c>
    </row>
    <row r="5" spans="1:10" ht="15.75" x14ac:dyDescent="0.25">
      <c r="A5" s="4" t="s">
        <v>135</v>
      </c>
      <c r="B5" s="20">
        <v>32.99</v>
      </c>
      <c r="C5" s="20">
        <f t="shared" si="0"/>
        <v>0.65980000000000005</v>
      </c>
      <c r="F5" s="20">
        <v>3</v>
      </c>
      <c r="G5" s="20">
        <v>22</v>
      </c>
      <c r="H5" s="20">
        <v>30.98</v>
      </c>
      <c r="I5" s="20">
        <f t="shared" si="1"/>
        <v>681.56000000000006</v>
      </c>
    </row>
    <row r="6" spans="1:10" ht="15.75" x14ac:dyDescent="0.25">
      <c r="A6" s="4" t="s">
        <v>136</v>
      </c>
      <c r="B6" s="20">
        <v>34.9</v>
      </c>
      <c r="C6" s="20">
        <f t="shared" si="0"/>
        <v>0.69799999999999995</v>
      </c>
      <c r="F6" s="20">
        <v>4</v>
      </c>
      <c r="G6" s="20">
        <v>8</v>
      </c>
      <c r="H6" s="20">
        <v>32.99</v>
      </c>
      <c r="I6" s="20">
        <f t="shared" si="1"/>
        <v>263.92</v>
      </c>
    </row>
    <row r="7" spans="1:10" ht="15.75" x14ac:dyDescent="0.25">
      <c r="A7" s="4" t="s">
        <v>137</v>
      </c>
      <c r="B7" s="20">
        <v>36.979999999999997</v>
      </c>
      <c r="C7" s="20">
        <f t="shared" si="0"/>
        <v>0.73959999999999992</v>
      </c>
      <c r="F7" s="20">
        <v>5</v>
      </c>
      <c r="G7" s="20">
        <v>17</v>
      </c>
      <c r="H7" s="20">
        <v>34.9</v>
      </c>
      <c r="I7" s="20">
        <f t="shared" si="1"/>
        <v>593.29999999999995</v>
      </c>
    </row>
    <row r="8" spans="1:10" ht="15.75" x14ac:dyDescent="0.25">
      <c r="A8" s="4" t="s">
        <v>138</v>
      </c>
      <c r="B8" s="20">
        <v>39.9</v>
      </c>
      <c r="C8" s="20">
        <f t="shared" si="0"/>
        <v>0.79800000000000004</v>
      </c>
      <c r="F8" s="20">
        <v>6</v>
      </c>
      <c r="G8" s="20">
        <v>23</v>
      </c>
      <c r="H8" s="20">
        <v>36.979999999999997</v>
      </c>
      <c r="I8" s="20">
        <f t="shared" si="1"/>
        <v>850.54</v>
      </c>
    </row>
    <row r="9" spans="1:10" ht="15.75" x14ac:dyDescent="0.25">
      <c r="A9" s="4" t="s">
        <v>139</v>
      </c>
      <c r="B9" s="20">
        <v>46.96</v>
      </c>
      <c r="C9" s="20">
        <f t="shared" si="0"/>
        <v>0.93920000000000003</v>
      </c>
      <c r="F9" s="20">
        <v>7</v>
      </c>
      <c r="G9" s="20">
        <v>15</v>
      </c>
      <c r="H9" s="20">
        <v>39.9</v>
      </c>
      <c r="I9" s="20">
        <f t="shared" si="1"/>
        <v>598.5</v>
      </c>
    </row>
    <row r="10" spans="1:10" ht="15" x14ac:dyDescent="0.25">
      <c r="F10" s="20">
        <v>8</v>
      </c>
      <c r="G10" s="20">
        <v>21</v>
      </c>
      <c r="H10" s="20">
        <v>46.96</v>
      </c>
      <c r="I10" s="20">
        <f t="shared" si="1"/>
        <v>986.16</v>
      </c>
    </row>
    <row r="11" spans="1:10" ht="15.75" x14ac:dyDescent="0.25">
      <c r="A11" s="4" t="s">
        <v>112</v>
      </c>
      <c r="B11" s="4" t="s">
        <v>121</v>
      </c>
      <c r="D11" s="4" t="s">
        <v>125</v>
      </c>
      <c r="F11" s="20">
        <v>9</v>
      </c>
      <c r="G11" s="20">
        <v>22</v>
      </c>
      <c r="H11" s="20">
        <v>27.28</v>
      </c>
      <c r="I11" s="20">
        <f t="shared" si="1"/>
        <v>600.16000000000008</v>
      </c>
    </row>
    <row r="12" spans="1:10" ht="15.75" x14ac:dyDescent="0.25">
      <c r="A12" s="4" t="s">
        <v>109</v>
      </c>
      <c r="B12" s="20">
        <v>4761</v>
      </c>
      <c r="D12" s="20">
        <v>4761</v>
      </c>
      <c r="F12" s="20">
        <v>10</v>
      </c>
      <c r="G12" s="20">
        <v>22</v>
      </c>
      <c r="H12" s="20">
        <v>29.1</v>
      </c>
      <c r="I12" s="20">
        <f t="shared" si="1"/>
        <v>640.20000000000005</v>
      </c>
    </row>
    <row r="13" spans="1:10" ht="15.75" x14ac:dyDescent="0.25">
      <c r="A13" s="4" t="s">
        <v>108</v>
      </c>
      <c r="B13" s="20">
        <v>1826</v>
      </c>
      <c r="D13" s="20">
        <v>1826</v>
      </c>
      <c r="F13" s="20">
        <v>11</v>
      </c>
      <c r="G13" s="20">
        <v>16</v>
      </c>
      <c r="H13" s="20">
        <v>30.98</v>
      </c>
      <c r="I13" s="20">
        <f t="shared" si="1"/>
        <v>495.68</v>
      </c>
    </row>
    <row r="14" spans="1:10" ht="15.75" x14ac:dyDescent="0.25">
      <c r="A14" s="4" t="s">
        <v>107</v>
      </c>
      <c r="B14" s="20">
        <v>1439</v>
      </c>
      <c r="D14" s="20">
        <v>1439</v>
      </c>
      <c r="E14" s="4"/>
      <c r="F14" s="20">
        <v>12</v>
      </c>
      <c r="G14" s="20">
        <v>24</v>
      </c>
      <c r="H14" s="20">
        <v>32.99</v>
      </c>
      <c r="I14" s="20">
        <f t="shared" si="1"/>
        <v>791.76</v>
      </c>
    </row>
    <row r="15" spans="1:10" ht="16.5" thickBot="1" x14ac:dyDescent="0.3">
      <c r="A15" s="4" t="s">
        <v>106</v>
      </c>
      <c r="B15" s="20">
        <v>2869</v>
      </c>
      <c r="D15" s="20">
        <v>2869</v>
      </c>
      <c r="E15" s="20"/>
    </row>
    <row r="16" spans="1:10" ht="15.75" x14ac:dyDescent="0.25">
      <c r="A16" s="4" t="s">
        <v>124</v>
      </c>
      <c r="B16" s="20">
        <f>B2*0.05</f>
        <v>1.3640000000000001</v>
      </c>
      <c r="D16" s="20">
        <f>B4*0.05</f>
        <v>1.5490000000000002</v>
      </c>
      <c r="E16" s="20"/>
      <c r="G16" s="14"/>
      <c r="H16" s="15"/>
      <c r="I16" s="25" t="s">
        <v>123</v>
      </c>
      <c r="J16" s="26" t="s">
        <v>122</v>
      </c>
    </row>
    <row r="17" spans="1:10" ht="15" x14ac:dyDescent="0.25">
      <c r="E17" s="20"/>
      <c r="G17" s="16"/>
      <c r="H17" s="17"/>
      <c r="I17" s="17"/>
      <c r="J17" s="18"/>
    </row>
    <row r="18" spans="1:10" ht="15.75" x14ac:dyDescent="0.25">
      <c r="A18" s="4" t="s">
        <v>112</v>
      </c>
      <c r="B18" s="4" t="s">
        <v>120</v>
      </c>
      <c r="D18" s="4" t="s">
        <v>118</v>
      </c>
      <c r="E18" s="20"/>
      <c r="G18" s="27" t="s">
        <v>121</v>
      </c>
      <c r="H18" s="17"/>
      <c r="I18" s="21">
        <v>6.5</v>
      </c>
      <c r="J18" s="22">
        <v>220</v>
      </c>
    </row>
    <row r="19" spans="1:10" ht="15.75" x14ac:dyDescent="0.25">
      <c r="A19" s="4" t="s">
        <v>109</v>
      </c>
      <c r="B19" s="20">
        <v>4761</v>
      </c>
      <c r="D19" s="20">
        <v>4761</v>
      </c>
      <c r="E19" s="20"/>
      <c r="G19" s="27" t="s">
        <v>120</v>
      </c>
      <c r="H19" s="17"/>
      <c r="I19" s="21">
        <v>6.5</v>
      </c>
      <c r="J19" s="22">
        <v>218</v>
      </c>
    </row>
    <row r="20" spans="1:10" ht="15.75" x14ac:dyDescent="0.25">
      <c r="A20" s="4" t="s">
        <v>108</v>
      </c>
      <c r="B20" s="20">
        <v>1826</v>
      </c>
      <c r="D20" s="20">
        <v>1826</v>
      </c>
      <c r="G20" s="16"/>
      <c r="H20" s="17"/>
      <c r="I20" s="17"/>
      <c r="J20" s="18"/>
    </row>
    <row r="21" spans="1:10" ht="15.75" x14ac:dyDescent="0.25">
      <c r="A21" s="4" t="s">
        <v>107</v>
      </c>
      <c r="B21" s="20">
        <v>1439</v>
      </c>
      <c r="D21" s="20">
        <v>1439</v>
      </c>
      <c r="E21" s="4"/>
      <c r="G21" s="27" t="s">
        <v>119</v>
      </c>
      <c r="H21" s="17"/>
      <c r="I21" s="21">
        <v>6.6</v>
      </c>
      <c r="J21" s="22">
        <v>230</v>
      </c>
    </row>
    <row r="22" spans="1:10" ht="16.5" thickBot="1" x14ac:dyDescent="0.3">
      <c r="A22" s="4" t="s">
        <v>106</v>
      </c>
      <c r="B22" s="20">
        <v>2869</v>
      </c>
      <c r="D22" s="20">
        <v>2869</v>
      </c>
      <c r="E22" s="20"/>
      <c r="G22" s="28" t="s">
        <v>118</v>
      </c>
      <c r="H22" s="19"/>
      <c r="I22" s="23">
        <v>6.6</v>
      </c>
      <c r="J22" s="24">
        <v>230</v>
      </c>
    </row>
    <row r="23" spans="1:10" ht="15" x14ac:dyDescent="0.25">
      <c r="B23" s="20">
        <f>B3*0.05</f>
        <v>1.4550000000000001</v>
      </c>
      <c r="D23" s="20">
        <f>B5*0.05</f>
        <v>1.6495000000000002</v>
      </c>
      <c r="E23" s="20"/>
    </row>
    <row r="24" spans="1:10" ht="15.75" x14ac:dyDescent="0.25">
      <c r="E24" s="20"/>
      <c r="G24" s="4" t="s">
        <v>115</v>
      </c>
      <c r="H24" s="4" t="s">
        <v>114</v>
      </c>
      <c r="I24" s="20">
        <f>SUM(G3:G14)</f>
        <v>222</v>
      </c>
    </row>
    <row r="25" spans="1:10" ht="15.75" x14ac:dyDescent="0.25">
      <c r="A25" s="4" t="s">
        <v>112</v>
      </c>
      <c r="B25" s="4" t="s">
        <v>117</v>
      </c>
      <c r="D25" s="4" t="s">
        <v>116</v>
      </c>
      <c r="E25" s="20"/>
      <c r="H25" s="4" t="s">
        <v>113</v>
      </c>
      <c r="I25" s="20">
        <f>SUM(I3:I14)</f>
        <v>7407.5</v>
      </c>
    </row>
    <row r="26" spans="1:10" ht="15.75" x14ac:dyDescent="0.25">
      <c r="A26" s="4" t="s">
        <v>109</v>
      </c>
      <c r="B26" s="20">
        <v>4761</v>
      </c>
      <c r="D26" s="20">
        <v>4761</v>
      </c>
      <c r="E26" s="20"/>
    </row>
    <row r="27" spans="1:10" ht="15.75" x14ac:dyDescent="0.25">
      <c r="A27" s="4" t="s">
        <v>108</v>
      </c>
      <c r="B27" s="20">
        <v>1826</v>
      </c>
      <c r="D27" s="20">
        <v>1826</v>
      </c>
    </row>
    <row r="28" spans="1:10" ht="15.75" x14ac:dyDescent="0.25">
      <c r="A28" s="4" t="s">
        <v>107</v>
      </c>
      <c r="B28" s="20">
        <v>1439</v>
      </c>
      <c r="D28" s="20">
        <v>1439</v>
      </c>
      <c r="E28" s="4"/>
    </row>
    <row r="29" spans="1:10" ht="15.75" x14ac:dyDescent="0.25">
      <c r="A29" s="4" t="s">
        <v>106</v>
      </c>
      <c r="B29" s="20">
        <v>2869</v>
      </c>
      <c r="D29" s="20">
        <v>2869</v>
      </c>
      <c r="E29" s="20"/>
    </row>
    <row r="30" spans="1:10" ht="15" x14ac:dyDescent="0.25">
      <c r="B30" s="20">
        <f>B9*0.05</f>
        <v>2.3480000000000003</v>
      </c>
      <c r="D30" s="20">
        <f>B5*0.05</f>
        <v>1.6495000000000002</v>
      </c>
      <c r="E30" s="20"/>
    </row>
    <row r="31" spans="1:10" ht="15" x14ac:dyDescent="0.25">
      <c r="E31" s="20"/>
    </row>
    <row r="32" spans="1:10" ht="15.75" x14ac:dyDescent="0.25">
      <c r="A32" s="4" t="s">
        <v>112</v>
      </c>
      <c r="B32" s="4" t="s">
        <v>111</v>
      </c>
      <c r="D32" s="4" t="s">
        <v>110</v>
      </c>
      <c r="E32" s="20"/>
    </row>
    <row r="33" spans="1:5" ht="15.75" x14ac:dyDescent="0.25">
      <c r="A33" s="4" t="s">
        <v>109</v>
      </c>
      <c r="B33" s="20">
        <v>4761</v>
      </c>
      <c r="D33" s="20">
        <v>4761</v>
      </c>
      <c r="E33" s="20"/>
    </row>
    <row r="34" spans="1:5" ht="15.75" x14ac:dyDescent="0.25">
      <c r="A34" s="4" t="s">
        <v>108</v>
      </c>
      <c r="B34" s="20">
        <v>1826</v>
      </c>
      <c r="D34" s="20">
        <v>1826</v>
      </c>
    </row>
    <row r="35" spans="1:5" ht="15.75" x14ac:dyDescent="0.25">
      <c r="A35" s="4" t="s">
        <v>107</v>
      </c>
      <c r="B35" s="20">
        <v>1439</v>
      </c>
      <c r="D35" s="20">
        <v>1439</v>
      </c>
      <c r="E35" s="4"/>
    </row>
    <row r="36" spans="1:5" ht="15.75" x14ac:dyDescent="0.25">
      <c r="A36" s="4" t="s">
        <v>106</v>
      </c>
      <c r="B36" s="20">
        <v>2869</v>
      </c>
      <c r="D36" s="20">
        <v>2869</v>
      </c>
      <c r="E36" s="20"/>
    </row>
    <row r="37" spans="1:5" ht="15" x14ac:dyDescent="0.25">
      <c r="B37" s="20">
        <f>B8*0.05</f>
        <v>1.9950000000000001</v>
      </c>
      <c r="D37" s="20">
        <f>B9*0.05</f>
        <v>2.3480000000000003</v>
      </c>
      <c r="E37" s="20"/>
    </row>
    <row r="38" spans="1:5" ht="15" x14ac:dyDescent="0.25">
      <c r="E38" s="20"/>
    </row>
    <row r="39" spans="1:5" ht="15" x14ac:dyDescent="0.25">
      <c r="E39" s="20"/>
    </row>
    <row r="40" spans="1:5" ht="15" x14ac:dyDescent="0.25">
      <c r="E40" s="20"/>
    </row>
  </sheetData>
  <phoneticPr fontId="2" type="noConversion"/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6" sqref="E16"/>
    </sheetView>
  </sheetViews>
  <sheetFormatPr defaultRowHeight="13.5" x14ac:dyDescent="0.1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3.5" x14ac:dyDescent="0.1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3.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人事表</vt:lpstr>
      <vt:lpstr>副表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2014-07-19T06:15:20Z</dcterms:created>
  <dcterms:modified xsi:type="dcterms:W3CDTF">2014-10-25T02:38:19Z</dcterms:modified>
</cp:coreProperties>
</file>